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on Tracker" sheetId="1" state="visible" r:id="rId1"/>
    <sheet name="Summary" sheetId="2" state="visible" r:id="rId2"/>
    <sheet name="Defects" sheetId="3" state="visible" r:id="rId3"/>
  </sheets>
  <definedNames>
    <definedName name="_xlnm._FilterDatabase" localSheetId="0" hidden="1">'Execution Tracker'!$A$1:$L$1</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b val="1"/>
      <color rgb="00FFFFFF"/>
      <sz val="10"/>
    </font>
    <font>
      <sz val="9"/>
    </font>
    <font>
      <b val="1"/>
      <color rgb="00C00000"/>
      <sz val="9"/>
    </font>
    <font>
      <b val="1"/>
      <color rgb="00ED7D31"/>
      <sz val="9"/>
    </font>
    <font>
      <b val="1"/>
      <color rgb="00404040"/>
      <sz val="9"/>
    </font>
    <font>
      <b val="1"/>
      <sz val="14"/>
    </font>
    <font>
      <b val="1"/>
      <sz val="11"/>
    </font>
    <font>
      <b val="1"/>
      <sz val="12"/>
    </font>
    <font>
      <i val="1"/>
      <color rgb="00555555"/>
    </font>
    <font>
      <b val="1"/>
      <color rgb="00006100"/>
      <sz val="9"/>
    </font>
    <font>
      <b val="1"/>
      <color rgb="009C0006"/>
      <sz val="9"/>
    </font>
    <font>
      <color rgb="00000000"/>
      <sz val="9"/>
    </font>
    <font>
      <b val="1"/>
      <color rgb="007F6000"/>
      <sz val="9"/>
    </font>
    <font>
      <b val="1"/>
    </font>
  </fonts>
  <fills count="4">
    <fill>
      <patternFill/>
    </fill>
    <fill>
      <patternFill patternType="gray125"/>
    </fill>
    <fill>
      <patternFill patternType="solid">
        <fgColor rgb="001F4E79"/>
      </patternFill>
    </fill>
    <fill>
      <patternFill patternType="solid">
        <fgColor rgb="00D9EAD3"/>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20">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3" fillId="0" borderId="1" applyAlignment="1" pivotButton="0" quotePrefix="0" xfId="0">
      <alignment horizontal="center" vertical="top" wrapText="1"/>
    </xf>
    <xf numFmtId="0" fontId="4" fillId="0" borderId="1" applyAlignment="1" pivotButton="0" quotePrefix="0" xfId="0">
      <alignment horizontal="center" vertical="top" wrapText="1"/>
    </xf>
    <xf numFmtId="0" fontId="5" fillId="0" borderId="1" applyAlignment="1" pivotButton="0" quotePrefix="0" xfId="0">
      <alignment horizontal="center" vertical="top" wrapText="1"/>
    </xf>
    <xf numFmtId="0" fontId="6" fillId="0" borderId="0" pivotButton="0" quotePrefix="0" xfId="0"/>
    <xf numFmtId="0" fontId="7" fillId="0" borderId="0" pivotButton="0" quotePrefix="0" xfId="0"/>
    <xf numFmtId="0" fontId="8" fillId="0" borderId="0" applyAlignment="1" pivotButton="0" quotePrefix="0" xfId="0">
      <alignment horizontal="center"/>
    </xf>
    <xf numFmtId="0" fontId="9" fillId="0" borderId="0" pivotButton="0" quotePrefix="0" xfId="0"/>
    <xf numFmtId="0" fontId="10" fillId="0" borderId="1" applyAlignment="1" pivotButton="0" quotePrefix="0" xfId="0">
      <alignment horizontal="center" vertical="top" wrapText="1"/>
    </xf>
    <xf numFmtId="0" fontId="2" fillId="0" borderId="1" applyAlignment="1" pivotButton="0" quotePrefix="0" xfId="0">
      <alignment vertical="top" wrapText="1"/>
    </xf>
    <xf numFmtId="0" fontId="2" fillId="0" borderId="1" applyAlignment="1" pivotButton="0" quotePrefix="0" xfId="0">
      <alignment horizontal="center" vertical="top"/>
    </xf>
    <xf numFmtId="0" fontId="11" fillId="0" borderId="1" applyAlignment="1" pivotButton="0" quotePrefix="0" xfId="0">
      <alignment horizontal="center" vertical="top" wrapText="1"/>
    </xf>
    <xf numFmtId="0" fontId="12" fillId="0" borderId="1" applyAlignment="1" pivotButton="0" quotePrefix="0" xfId="0">
      <alignment horizontal="center" vertical="top" wrapText="1"/>
    </xf>
    <xf numFmtId="0" fontId="12" fillId="0" borderId="1" applyAlignment="1" pivotButton="0" quotePrefix="0" xfId="0">
      <alignment horizontal="left" vertical="top" wrapText="1"/>
    </xf>
    <xf numFmtId="0" fontId="13" fillId="0" borderId="1" applyAlignment="1" pivotButton="0" quotePrefix="0" xfId="0">
      <alignment horizontal="center" vertical="top" wrapText="1"/>
    </xf>
    <xf numFmtId="0" fontId="14" fillId="0" borderId="0" pivotButton="0" quotePrefix="0" xfId="0"/>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9"/>
    <outlinePr summaryBelow="1" summaryRight="1"/>
    <pageSetUpPr/>
  </sheetPr>
  <dimension ref="A1:L65"/>
  <sheetViews>
    <sheetView workbookViewId="0">
      <pane ySplit="1" topLeftCell="A2" activePane="bottomLeft" state="frozen"/>
      <selection pane="bottomLeft" activeCell="A1" sqref="A1"/>
    </sheetView>
  </sheetViews>
  <sheetFormatPr baseColWidth="8" defaultRowHeight="15"/>
  <cols>
    <col width="32" customWidth="1" min="1" max="1"/>
    <col width="10" customWidth="1" min="2" max="2"/>
    <col width="30" customWidth="1" min="3" max="3"/>
    <col width="28" customWidth="1" min="4" max="4"/>
    <col width="45" customWidth="1" min="5" max="5"/>
    <col width="45" customWidth="1" min="6" max="6"/>
    <col width="9" customWidth="1" min="7" max="7"/>
    <col width="11" customWidth="1" min="8" max="8"/>
    <col width="30" customWidth="1" min="9" max="9"/>
    <col width="10" customWidth="1" min="10" max="10"/>
    <col width="13" customWidth="1" min="11" max="11"/>
    <col width="25" customWidth="1" min="12" max="12"/>
  </cols>
  <sheetData>
    <row r="1" ht="30" customHeight="1">
      <c r="A1" s="1" t="inlineStr">
        <is>
          <t>Section</t>
        </is>
      </c>
      <c r="B1" s="1" t="inlineStr">
        <is>
          <t>TC ID</t>
        </is>
      </c>
      <c r="C1" s="1" t="inlineStr">
        <is>
          <t>Scenario</t>
        </is>
      </c>
      <c r="D1" s="1" t="inlineStr">
        <is>
          <t>Preconditions</t>
        </is>
      </c>
      <c r="E1" s="1" t="inlineStr">
        <is>
          <t>Test Steps</t>
        </is>
      </c>
      <c r="F1" s="1" t="inlineStr">
        <is>
          <t>Expected Result</t>
        </is>
      </c>
      <c r="G1" s="1" t="inlineStr">
        <is>
          <t>Priority</t>
        </is>
      </c>
      <c r="H1" s="1" t="inlineStr">
        <is>
          <t>Status</t>
        </is>
      </c>
      <c r="I1" s="1" t="inlineStr">
        <is>
          <t>Actual Result</t>
        </is>
      </c>
      <c r="J1" s="1" t="inlineStr">
        <is>
          <t>Defect ID</t>
        </is>
      </c>
      <c r="K1" s="1" t="inlineStr">
        <is>
          <t>Executed On</t>
        </is>
      </c>
      <c r="L1" s="1" t="inlineStr">
        <is>
          <t>Notes</t>
        </is>
      </c>
    </row>
    <row r="2">
      <c r="A2" s="2" t="inlineStr">
        <is>
          <t>6.1 Authentication &amp; authorization</t>
        </is>
      </c>
      <c r="B2" s="2" t="inlineStr">
        <is>
          <t>TC-A01</t>
        </is>
      </c>
      <c r="C2" s="3" t="inlineStr">
        <is>
          <t>Garage owner signup &amp; onboarding checklist</t>
        </is>
      </c>
      <c r="D2" s="3" t="inlineStr">
        <is>
          <t>None</t>
        </is>
      </c>
      <c r="E2" s="3" t="inlineStr">
        <is>
          <t>1. Sign up with a new email 2. Verify email 3. Complete onboarding: business profile, Twilio number assignment, add first customer 4. Reach dashboard</t>
        </is>
      </c>
      <c r="F2" s="3" t="inlineStr">
        <is>
          <t>Account created; checklist ticks off each step; dashboard loads with the assigned Twilio number visible</t>
        </is>
      </c>
      <c r="G2" s="4" t="inlineStr">
        <is>
          <t>P0</t>
        </is>
      </c>
      <c r="H2" s="11" t="inlineStr">
        <is>
          <t>Pass</t>
        </is>
      </c>
      <c r="I2" s="12" t="inlineStr">
        <is>
          <t>Signup OK (surathpar+revlooptest@gmail.com); no email verification required. Onboarding checklist ticked: address, Google review link, services, first customer. 'Garage approved' and 'Dedicated SMS number assigned' remain UNTICKED — admin number pool is EMPTY ('No free numbers in pool'), so no number can be assigned.</t>
        </is>
      </c>
      <c r="J2" s="2" t="inlineStr">
        <is>
          <t>BUG-006</t>
        </is>
      </c>
      <c r="K2" s="13" t="inlineStr">
        <is>
          <t>2026-10-01</t>
        </is>
      </c>
      <c r="L2" s="3" t="inlineStr"/>
    </row>
    <row r="3">
      <c r="A3" s="2" t="inlineStr">
        <is>
          <t>6.1 Authentication &amp; authorization</t>
        </is>
      </c>
      <c r="B3" s="2" t="inlineStr">
        <is>
          <t>TC-A02</t>
        </is>
      </c>
      <c r="C3" s="3" t="inlineStr">
        <is>
          <t>Staff invite &amp; role restrictions</t>
        </is>
      </c>
      <c r="D3" s="3" t="inlineStr">
        <is>
          <t>Owner account active</t>
        </is>
      </c>
      <c r="E3" s="3" t="inlineStr">
        <is>
          <t>1. Owner invites staff by email 2. Staff accepts &amp; logs in 3. Use CRM, calendar, conversations 4. Try Settings, Billing, SMS Templates</t>
        </is>
      </c>
      <c r="F3" s="3" t="inlineStr">
        <is>
          <t>Allowed areas work; Settings/Billing/Templates return 403 (not just hidden links)</t>
        </is>
      </c>
      <c r="G3" s="4" t="inlineStr">
        <is>
          <t>P0</t>
        </is>
      </c>
      <c r="H3" s="14" t="inlineStr">
        <is>
          <t>Pass</t>
        </is>
      </c>
      <c r="I3" s="12" t="inlineStr">
        <is>
          <t>Retest 2026-10-02: staff direct-URL nav to /settings,/templates,/automations,/billing,/admin,/sales each shows full-page 403 'Access denied' - no redirect to /calendar. BUG-001 FIXED.</t>
        </is>
      </c>
      <c r="J3" s="2" t="inlineStr">
        <is>
          <t>BUG-001</t>
        </is>
      </c>
      <c r="K3" s="13" t="inlineStr">
        <is>
          <t>2026-10-02</t>
        </is>
      </c>
      <c r="L3" s="3" t="inlineStr"/>
    </row>
    <row r="4">
      <c r="A4" s="2" t="inlineStr">
        <is>
          <t>6.1 Authentication &amp; authorization</t>
        </is>
      </c>
      <c r="B4" s="2" t="inlineStr">
        <is>
          <t>TC-A03</t>
        </is>
      </c>
      <c r="C4" s="3" t="inlineStr">
        <is>
          <t>Staff direct-URL access to billing</t>
        </is>
      </c>
      <c r="D4" s="3" t="inlineStr">
        <is>
          <t>Staff logged in</t>
        </is>
      </c>
      <c r="E4" s="3" t="inlineStr">
        <is>
          <t>Navigate directly to the billing/settings URL</t>
        </is>
      </c>
      <c r="F4" s="3" t="inlineStr">
        <is>
          <t>403 page; attempt written to audit log</t>
        </is>
      </c>
      <c r="G4" s="4" t="inlineStr">
        <is>
          <t>P0</t>
        </is>
      </c>
      <c r="H4" s="14" t="inlineStr">
        <is>
          <t>Pass</t>
        </is>
      </c>
      <c r="I4" s="12" t="inlineStr">
        <is>
          <t>Retest 2026-10-02: all six staff 403 attempts logged as access.denied with actor/role/path/garage/time. BUG-001/BUG-002 FIXED.</t>
        </is>
      </c>
      <c r="J4" s="2" t="inlineStr">
        <is>
          <t>BUG-001, BUG-002</t>
        </is>
      </c>
      <c r="K4" s="13" t="inlineStr">
        <is>
          <t>2026-10-02</t>
        </is>
      </c>
      <c r="L4" s="3" t="inlineStr"/>
    </row>
    <row r="5">
      <c r="A5" s="2" t="inlineStr">
        <is>
          <t>6.1 Authentication &amp; authorization</t>
        </is>
      </c>
      <c r="B5" s="2" t="inlineStr">
        <is>
          <t>TC-A04</t>
        </is>
      </c>
      <c r="C5" s="3" t="inlineStr">
        <is>
          <t>Cross-tenant isolation</t>
        </is>
      </c>
      <c r="D5" s="3" t="inlineStr">
        <is>
          <t>Garages A and B exist</t>
        </is>
      </c>
      <c r="E5" s="3" t="inlineStr">
        <is>
          <t>As Garage A owner, open a Garage B customer/booking URL by editing the ID</t>
        </is>
      </c>
      <c r="F5" s="3" t="inlineStr">
        <is>
          <t>403; no Garage B data leaked; audit log entry</t>
        </is>
      </c>
      <c r="G5" s="4" t="inlineStr">
        <is>
          <t>P0</t>
        </is>
      </c>
      <c r="H5" s="14" t="inlineStr">
        <is>
          <t>Pass</t>
        </is>
      </c>
      <c r="I5" s="12" t="inlineStr">
        <is>
          <t>Retest 2026-10-02: cross-tenant customer URL returns 403 'record belongs to another garage' (not 'not found'); access.denied.cross-tenant audit entries written. BUG-002/BUG-003 FIXED.</t>
        </is>
      </c>
      <c r="J5" s="2" t="inlineStr">
        <is>
          <t>BUG-002, BUG-003</t>
        </is>
      </c>
      <c r="K5" s="13" t="inlineStr">
        <is>
          <t>2026-10-02</t>
        </is>
      </c>
      <c r="L5" s="3" t="inlineStr"/>
    </row>
    <row r="6">
      <c r="A6" s="2" t="inlineStr">
        <is>
          <t>6.1 Authentication &amp; authorization</t>
        </is>
      </c>
      <c r="B6" s="2" t="inlineStr">
        <is>
          <t>TC-A05</t>
        </is>
      </c>
      <c r="C6" s="3" t="inlineStr">
        <is>
          <t>Admin impersonation with audit</t>
        </is>
      </c>
      <c r="D6" s="3" t="inlineStr">
        <is>
          <t>Admin account</t>
        </is>
      </c>
      <c r="E6" s="3" t="inlineStr">
        <is>
          <t>1. Admin starts impersonation of a garage owner 2. Perform an action 3. End impersonation</t>
        </is>
      </c>
      <c r="F6" s="3" t="inlineStr">
        <is>
          <t>Visible impersonation banner; every action logged under the admin's identity</t>
        </is>
      </c>
      <c r="G6" s="5" t="inlineStr">
        <is>
          <t>P1</t>
        </is>
      </c>
      <c r="H6" s="11" t="inlineStr">
        <is>
          <t>Pass</t>
        </is>
      </c>
      <c r="I6" s="12" t="inlineStr">
        <is>
          <t>Support login required a reason (&gt;=10 chars); banner 'Support mode: viewing Demo Auto Toronto. All actions are audited.' shown with Exit button; start/stop logged under admin identity.</t>
        </is>
      </c>
      <c r="J6" s="2" t="inlineStr"/>
      <c r="K6" s="13" t="inlineStr">
        <is>
          <t>2026-10-01</t>
        </is>
      </c>
      <c r="L6" s="3" t="inlineStr"/>
    </row>
    <row r="7">
      <c r="A7" s="2" t="inlineStr">
        <is>
          <t>6.1 Authentication &amp; authorization</t>
        </is>
      </c>
      <c r="B7" s="2" t="inlineStr">
        <is>
          <t>TC-A06</t>
        </is>
      </c>
      <c r="C7" s="3" t="inlineStr">
        <is>
          <t>Session timeout &amp; password reset</t>
        </is>
      </c>
      <c r="D7" s="3" t="inlineStr">
        <is>
          <t>Active login</t>
        </is>
      </c>
      <c r="E7" s="3" t="inlineStr">
        <is>
          <t>1. Idle past the timeout 2. Use 'forgot password' and reset via email link</t>
        </is>
      </c>
      <c r="F7" s="3" t="inlineStr">
        <is>
          <t>Logged out after timeout; old sessions invalidated after reset</t>
        </is>
      </c>
      <c r="G7" s="5" t="inlineStr">
        <is>
          <t>P1</t>
        </is>
      </c>
      <c r="H7" s="14" t="inlineStr">
        <is>
          <t>Pass</t>
        </is>
      </c>
      <c r="I7" s="12" t="inlineStr">
        <is>
          <t>Retest 2026-10-02: 'Forgot password?' link on /login; /forgot-password shows 1-hour one-time-link wording; /reset-password form present (no reset submitted). SESSION_IDLE_MINUTES setting exists in Integrations (default shows 'not set'). BUG-004/BUG-005 FIXED (UI layer).</t>
        </is>
      </c>
      <c r="J7" s="2" t="inlineStr">
        <is>
          <t>BUG-004, BUG-005</t>
        </is>
      </c>
      <c r="K7" s="13" t="inlineStr">
        <is>
          <t>2026-10-02</t>
        </is>
      </c>
      <c r="L7" s="3" t="inlineStr"/>
    </row>
    <row r="8">
      <c r="A8" s="2" t="inlineStr">
        <is>
          <t>6.2 CRM, vehicles &amp; CSV import</t>
        </is>
      </c>
      <c r="B8" s="2" t="inlineStr">
        <is>
          <t>TC-B01</t>
        </is>
      </c>
      <c r="C8" s="3" t="inlineStr">
        <is>
          <t>Add / edit / search customer</t>
        </is>
      </c>
      <c r="D8" s="3" t="inlineStr">
        <is>
          <t>Owner logged in</t>
        </is>
      </c>
      <c r="E8" s="3" t="inlineStr">
        <is>
          <t>1. Add customer (name, phone, email) 2. Edit phone 3. Search by name and by phone</t>
        </is>
      </c>
      <c r="F8" s="3" t="inlineStr">
        <is>
          <t>Customer saved; edits persist; search finds it both ways</t>
        </is>
      </c>
      <c r="G8" s="4" t="inlineStr">
        <is>
          <t>P0</t>
        </is>
      </c>
      <c r="H8" s="14" t="inlineStr">
        <is>
          <t>Pass</t>
        </is>
      </c>
      <c r="I8" s="12" t="inlineStr">
        <is>
          <t>Retest 2026-10-02: customer Edit dialog (name/phone/email) works; duplicate phone rejected; customer.updated audit entries written. BUG-007 FIXED.</t>
        </is>
      </c>
      <c r="J8" s="2" t="inlineStr">
        <is>
          <t>BUG-007</t>
        </is>
      </c>
      <c r="K8" s="13" t="inlineStr">
        <is>
          <t>2026-10-02</t>
        </is>
      </c>
      <c r="L8" s="3" t="inlineStr"/>
    </row>
    <row r="9">
      <c r="A9" s="2" t="inlineStr">
        <is>
          <t>6.2 CRM, vehicles &amp; CSV import</t>
        </is>
      </c>
      <c r="B9" s="2" t="inlineStr">
        <is>
          <t>TC-B02</t>
        </is>
      </c>
      <c r="C9" s="3" t="inlineStr">
        <is>
          <t>Vehicle + service history</t>
        </is>
      </c>
      <c r="D9" s="3" t="inlineStr">
        <is>
          <t>Customer exists</t>
        </is>
      </c>
      <c r="E9" s="3" t="inlineStr">
        <is>
          <t>1. Add vehicle (make/model/year/plate/km) 2. Add service record (date, job, cost) 3. Open history timeline</t>
        </is>
      </c>
      <c r="F9" s="3" t="inlineStr">
        <is>
          <t>Vehicle linked to customer; service history shows newest-first with totals</t>
        </is>
      </c>
      <c r="G9" s="4" t="inlineStr">
        <is>
          <t>P0</t>
        </is>
      </c>
      <c r="H9" s="11" t="inlineStr">
        <is>
          <t>Pass</t>
        </is>
      </c>
      <c r="I9" s="12" t="inlineStr">
        <is>
          <t>Added 2019 Honda Civic (QA2019, 45,200 km) + 2 service records via completing appointments (Oil &amp; filter $89.95, Tire change $120.00). SERVICE HISTORY newest-first with per-record costs. Notes: no aggregate Total row; history shows completing user (Dev Patel) not assigned tech; past-dated appointments rejected so records only via completing future appointments.</t>
        </is>
      </c>
      <c r="J9" s="2" t="inlineStr"/>
      <c r="K9" s="13" t="inlineStr">
        <is>
          <t>2026-10-01</t>
        </is>
      </c>
      <c r="L9" s="3" t="inlineStr"/>
    </row>
    <row r="10">
      <c r="A10" s="2" t="inlineStr">
        <is>
          <t>6.2 CRM, vehicles &amp; CSV import</t>
        </is>
      </c>
      <c r="B10" s="2" t="inlineStr">
        <is>
          <t>TC-B03</t>
        </is>
      </c>
      <c r="C10" s="3" t="inlineStr">
        <is>
          <t>CSV import — happy path</t>
        </is>
      </c>
      <c r="D10" s="3" t="inlineStr">
        <is>
          <t>Clean CSV with 10 new customers</t>
        </is>
      </c>
      <c r="E10" s="3" t="inlineStr">
        <is>
          <t>Upload via Import; map columns; run</t>
        </is>
      </c>
      <c r="F10" s="3" t="inlineStr">
        <is>
          <t>10 customers created; import summary shows 10 added / 0 skipped / 0 errors</t>
        </is>
      </c>
      <c r="G10" s="4" t="inlineStr">
        <is>
          <t>P0</t>
        </is>
      </c>
      <c r="H10" s="17" t="inlineStr">
        <is>
          <t>Pass</t>
        </is>
      </c>
      <c r="I10" s="12" t="inlineStr">
        <is>
          <t>All 10 customers imported with correct data (QA Import 01-10, phones +15550103101-110, 2016-2025 Honda Civic, plates IMP001-IMP010). Verified by owner upload + Kavi read-back on 2026-10-01.</t>
        </is>
      </c>
      <c r="J10" s="2" t="n"/>
      <c r="K10" s="13" t="inlineStr">
        <is>
          <t>2026-10-01</t>
        </is>
      </c>
      <c r="L10" s="3" t="inlineStr"/>
    </row>
    <row r="11">
      <c r="A11" s="2" t="inlineStr">
        <is>
          <t>6.2 CRM, vehicles &amp; CSV import</t>
        </is>
      </c>
      <c r="B11" s="2" t="inlineStr">
        <is>
          <t>TC-B04</t>
        </is>
      </c>
      <c r="C11" s="3" t="inlineStr">
        <is>
          <t>CSV import — duplicate phones skipped</t>
        </is>
      </c>
      <c r="D11" s="3" t="inlineStr">
        <is>
          <t>2 rows share a phone with existing customers</t>
        </is>
      </c>
      <c r="E11" s="3" t="inlineStr">
        <is>
          <t>Upload and run import</t>
        </is>
      </c>
      <c r="F11" s="3" t="inlineStr">
        <is>
          <t>Duplicates skipped or merged per spec; report shows exactly which rows and why</t>
        </is>
      </c>
      <c r="G11" s="4" t="inlineStr">
        <is>
          <t>P0</t>
        </is>
      </c>
      <c r="H11" s="17" t="inlineStr">
        <is>
          <t>Pass</t>
        </is>
      </c>
      <c r="I11" s="12" t="inlineStr">
        <is>
          <t>Re-upload of b04_dupes.csv correctly flagged all 3 rows as "already exist" duplicates (row two, row three, row four). Read-back verified exactly 1 record per phone (+14165551000, +14165551001, +15550103121) and customer total steady at 17 — no duplicate records created. Manual Quick-add also blocks duplicates ("This phone number already belongs to a customer.").</t>
        </is>
      </c>
      <c r="J11" s="2" t="n"/>
      <c r="K11" s="13" t="inlineStr">
        <is>
          <t>2026-10-01</t>
        </is>
      </c>
      <c r="L11" s="3" t="inlineStr"/>
    </row>
    <row r="12">
      <c r="A12" s="2" t="inlineStr">
        <is>
          <t>6.2 CRM, vehicles &amp; CSV import</t>
        </is>
      </c>
      <c r="B12" s="2" t="inlineStr">
        <is>
          <t>TC-B05</t>
        </is>
      </c>
      <c r="C12" s="3" t="inlineStr">
        <is>
          <t>CSV import — malformed rows</t>
        </is>
      </c>
      <c r="D12" s="3" t="inlineStr">
        <is>
          <t>CSV with 2 bad rows (missing phone, bad date)</t>
        </is>
      </c>
      <c r="E12" s="3" t="inlineStr">
        <is>
          <t>Upload and run import</t>
        </is>
      </c>
      <c r="F12" s="3" t="inlineStr">
        <is>
          <t>Bad rows listed with row numbers and reasons; valid rows still import</t>
        </is>
      </c>
      <c r="G12" s="5" t="inlineStr">
        <is>
          <t>P1</t>
        </is>
      </c>
      <c r="H12" s="17" t="inlineStr">
        <is>
          <t>Fail</t>
        </is>
      </c>
      <c r="I12" s="12" t="inlineStr">
        <is>
          <t>"QA Bad NoPhone" correctly rejected, but "QA Bad Year" (year=notayear) was IMPORTED with the year coerced to 0 ("0 Kia Forte", BAD002) instead of being rejected. See BUG-019. | Retest 2026-10-02: BUG-019 was NOT in Emergent's 17-defect sheet - fix not received; still OPEN.</t>
        </is>
      </c>
      <c r="J12" s="2" t="inlineStr">
        <is>
          <t>BUG-019</t>
        </is>
      </c>
      <c r="K12" s="13" t="inlineStr">
        <is>
          <t>2026-10-02</t>
        </is>
      </c>
      <c r="L12" s="3" t="inlineStr"/>
    </row>
    <row r="13">
      <c r="A13" s="2" t="inlineStr">
        <is>
          <t>6.2 CRM, vehicles &amp; CSV import</t>
        </is>
      </c>
      <c r="B13" s="2" t="inlineStr">
        <is>
          <t>TC-B06</t>
        </is>
      </c>
      <c r="C13" s="3" t="inlineStr">
        <is>
          <t>CASL consent captured at customer creation</t>
        </is>
      </c>
      <c r="D13" s="3" t="inlineStr">
        <is>
          <t>Owner logged in</t>
        </is>
      </c>
      <c r="E13" s="3" t="inlineStr">
        <is>
          <t>Add a customer and tick the consent checkbox</t>
        </is>
      </c>
      <c r="F13" s="3" t="inlineStr">
        <is>
          <t>Consent ledger shows entry: customer, source 'manual', timestamp, opt-in=true</t>
        </is>
      </c>
      <c r="G13" s="4" t="inlineStr">
        <is>
          <t>P0</t>
        </is>
      </c>
      <c r="H13" s="11" t="inlineStr">
        <is>
          <t>Pass</t>
        </is>
      </c>
      <c r="I13" s="12" t="inlineStr">
        <is>
          <t>Created 'QA B06 Test' (+15550106666) via Quick add with SMS consent ticked. Profile Consent log tab shows EXPRESS entry ('staff attestation'), timestamp Oct 1 7:45 PM, accepted=true, full consent text. (Source labeled 'staff attestation' rather than 'manual'.)</t>
        </is>
      </c>
      <c r="J13" s="2" t="inlineStr"/>
      <c r="K13" s="13" t="inlineStr">
        <is>
          <t>2026-10-01</t>
        </is>
      </c>
      <c r="L13" s="3" t="inlineStr"/>
    </row>
    <row r="14">
      <c r="A14" s="2" t="inlineStr">
        <is>
          <t>6.3 Appointments, booking link &amp; SMS reminders</t>
        </is>
      </c>
      <c r="B14" s="2" t="inlineStr">
        <is>
          <t>TC-C01</t>
        </is>
      </c>
      <c r="C14" s="3" t="inlineStr">
        <is>
          <t>Create appointment in calendar</t>
        </is>
      </c>
      <c r="D14" s="3" t="inlineStr">
        <is>
          <t>Owner logged in</t>
        </is>
      </c>
      <c r="E14" s="3" t="inlineStr">
        <is>
          <t>Create appointment for tomorrow 10:00 AM with customer + service</t>
        </is>
      </c>
      <c r="F14" s="3" t="inlineStr">
        <is>
          <t>Appears on calendar; customer linked</t>
        </is>
      </c>
      <c r="G14" s="4" t="inlineStr">
        <is>
          <t>P0</t>
        </is>
      </c>
      <c r="H14" s="11" t="inlineStr">
        <is>
          <t>Pass</t>
        </is>
      </c>
      <c r="I14" s="12" t="inlineStr">
        <is>
          <t>Appointment Fri Oct 2 10:00 AM (Bay 2, Sam Rivera, QA B01 Test, Oil &amp; filter change) appears on calendar grid. Conflict-aware: Bay 1/Dev Patel 10:00 rejected ('already booked at this time'); Bay 2 + Sam Rivera succeeded ('confirmation queued').</t>
        </is>
      </c>
      <c r="J14" s="2" t="inlineStr"/>
      <c r="K14" s="13" t="inlineStr">
        <is>
          <t>2026-10-01</t>
        </is>
      </c>
      <c r="L14" s="3" t="inlineStr"/>
    </row>
    <row r="15">
      <c r="A15" s="2" t="inlineStr">
        <is>
          <t>6.3 Appointments, booking link &amp; SMS reminders</t>
        </is>
      </c>
      <c r="B15" s="2" t="inlineStr">
        <is>
          <t>TC-C02</t>
        </is>
      </c>
      <c r="C15" s="3" t="inlineStr">
        <is>
          <t>Public booking link — no login</t>
        </is>
      </c>
      <c r="D15" s="3" t="inlineStr">
        <is>
          <t>Booking link enabled</t>
        </is>
      </c>
      <c r="E15" s="3" t="inlineStr">
        <is>
          <t>Open link in incognito; book a slot as a new customer</t>
        </is>
      </c>
      <c r="F15" s="3" t="inlineStr">
        <is>
          <t>Booking lands on the correct garage's calendar; customer auto-created</t>
        </is>
      </c>
      <c r="G15" s="4" t="inlineStr">
        <is>
          <t>P0</t>
        </is>
      </c>
      <c r="H15" s="11" t="inlineStr">
        <is>
          <t>Pass</t>
        </is>
      </c>
      <c r="I15" s="12" t="inlineStr">
        <is>
          <t>Logged out; /book/demo-auto-toronto works with no session. Booked Oil &amp; filter change Fri Oct 2 10:00 AM as 'QA SMS Test' (+16476094072) with consent ticked. 'You're booked!'; appointment on Demo Auto Toronto's Oct 2 calendar; customer auto-created with EXPRESS consent.</t>
        </is>
      </c>
      <c r="J15" s="2" t="inlineStr"/>
      <c r="K15" s="13" t="inlineStr">
        <is>
          <t>2026-10-01</t>
        </is>
      </c>
      <c r="L15" s="3" t="inlineStr"/>
    </row>
    <row r="16">
      <c r="A16" s="2" t="inlineStr">
        <is>
          <t>6.3 Appointments, booking link &amp; SMS reminders</t>
        </is>
      </c>
      <c r="B16" s="2" t="inlineStr">
        <is>
          <t>TC-C03</t>
        </is>
      </c>
      <c r="C16" s="3" t="inlineStr">
        <is>
          <t>QR code resolves to booking link</t>
        </is>
      </c>
      <c r="D16" s="3" t="inlineStr">
        <is>
          <t>QR generated</t>
        </is>
      </c>
      <c r="E16" s="3" t="inlineStr">
        <is>
          <t>Scan QR (phone camera)</t>
        </is>
      </c>
      <c r="F16" s="3" t="inlineStr">
        <is>
          <t>Opens the same public booking link as TC-C02</t>
        </is>
      </c>
      <c r="G16" s="5" t="inlineStr">
        <is>
          <t>P1</t>
        </is>
      </c>
      <c r="H16" s="11" t="inlineStr">
        <is>
          <t>Pass</t>
        </is>
      </c>
      <c r="I16" s="12" t="inlineStr">
        <is>
          <t>Settings -&gt; Booking QR tab shows QR image next to 'PUBLIC BOOKING PAGE' with URL text identical to the TC-C02 booking link, plus Copy link / Download QR buttons. (Pixel-level QR decode not performed in-browser.)</t>
        </is>
      </c>
      <c r="J16" s="2" t="inlineStr"/>
      <c r="K16" s="13" t="inlineStr">
        <is>
          <t>2026-10-01</t>
        </is>
      </c>
      <c r="L16" s="3" t="inlineStr"/>
    </row>
    <row r="17">
      <c r="A17" s="2" t="inlineStr">
        <is>
          <t>6.3 Appointments, booking link &amp; SMS reminders</t>
        </is>
      </c>
      <c r="B17" s="2" t="inlineStr">
        <is>
          <t>TC-C04</t>
        </is>
      </c>
      <c r="C17" s="3" t="inlineStr">
        <is>
          <t>Double-booking prevention</t>
        </is>
      </c>
      <c r="D17" s="3" t="inlineStr">
        <is>
          <t>One bay / one slot config</t>
        </is>
      </c>
      <c r="E17" s="3" t="inlineStr">
        <is>
          <t>Book the same slot twice via the public link</t>
        </is>
      </c>
      <c r="F17" s="3" t="inlineStr">
        <is>
          <t>Second booking rejected with a clear message, or waitlist per config</t>
        </is>
      </c>
      <c r="G17" s="5" t="inlineStr">
        <is>
          <t>P1</t>
        </is>
      </c>
      <c r="H17" s="14" t="inlineStr">
        <is>
          <t>Pass</t>
        </is>
      </c>
      <c r="I17" s="12" t="inlineStr">
        <is>
          <t>Retest 2026-10-02: 'Online bookings per time slot'=1; booked slots disappear from grid; no-consent booking skipped+logged, consent booking queued. BUG-008/BUG-009 FIXED.</t>
        </is>
      </c>
      <c r="J17" s="2" t="inlineStr">
        <is>
          <t>BUG-008</t>
        </is>
      </c>
      <c r="K17" s="13" t="inlineStr">
        <is>
          <t>2026-10-02</t>
        </is>
      </c>
      <c r="L17" s="3" t="inlineStr"/>
    </row>
    <row r="18">
      <c r="A18" s="2" t="inlineStr">
        <is>
          <t>6.3 Appointments, booking link &amp; SMS reminders</t>
        </is>
      </c>
      <c r="B18" s="2" t="inlineStr">
        <is>
          <t>TC-C05</t>
        </is>
      </c>
      <c r="C18" s="3" t="inlineStr">
        <is>
          <t>Booking confirmation SMS</t>
        </is>
      </c>
      <c r="D18" s="3" t="inlineStr">
        <is>
          <t>Twilio test number configured</t>
        </is>
      </c>
      <c r="E18" s="3" t="inlineStr">
        <is>
          <t>Create a booking</t>
        </is>
      </c>
      <c r="F18" s="3" t="inlineStr">
        <is>
          <t>Confirmation SMS arrives promptly with date/time/business name</t>
        </is>
      </c>
      <c r="G18" s="4" t="inlineStr">
        <is>
          <t>P0</t>
        </is>
      </c>
      <c r="H18" s="11" t="inlineStr">
        <is>
          <t>Pass</t>
        </is>
      </c>
      <c r="I18" s="12" t="inlineStr">
        <is>
          <t>Outbound confirmation recorded in QA SMS Test thread: 'Demo Auto Toronto: Hi QA, your Oil &amp; filter change is booked for Fri, Oct 2 at 10:00 AM. Reply YES to confirm...' — status DELIVERED, correct business name/date/time. (Physical handset receipt not directly observable.)</t>
        </is>
      </c>
      <c r="J18" s="2" t="inlineStr"/>
      <c r="K18" s="13" t="inlineStr">
        <is>
          <t>2026-10-01</t>
        </is>
      </c>
      <c r="L18" s="3" t="inlineStr"/>
    </row>
    <row r="19">
      <c r="A19" s="2" t="inlineStr">
        <is>
          <t>6.3 Appointments, booking link &amp; SMS reminders</t>
        </is>
      </c>
      <c r="B19" s="2" t="inlineStr">
        <is>
          <t>TC-C06</t>
        </is>
      </c>
      <c r="C19" s="3" t="inlineStr">
        <is>
          <t>24-hour reminder</t>
        </is>
      </c>
      <c r="D19" s="3" t="inlineStr">
        <is>
          <t>Appointment tomorrow</t>
        </is>
      </c>
      <c r="E19" s="3" t="inlineStr">
        <is>
          <t>Advance clock / trigger scheduler</t>
        </is>
      </c>
      <c r="F19" s="3" t="inlineStr">
        <is>
          <t>Reminder SMS sent ~24h before</t>
        </is>
      </c>
      <c r="G19" s="4" t="inlineStr">
        <is>
          <t>P0</t>
        </is>
      </c>
      <c r="H19" s="11" t="inlineStr">
        <is>
          <t>Pass</t>
        </is>
      </c>
      <c r="I19" s="12" t="inlineStr">
        <is>
          <t>Appointment Sat Oct 3 11:00 AM -&gt; reminder24 QUEUED for Oct 2 11:00 AM (exactly ~24h before). Automations page has manual 'Send due messages now' trigger (returned '0 message(s) handled' — nothing due yet, consistent).</t>
        </is>
      </c>
      <c r="J19" s="2" t="inlineStr"/>
      <c r="K19" s="13" t="inlineStr">
        <is>
          <t>2026-10-01</t>
        </is>
      </c>
      <c r="L19" s="3" t="inlineStr"/>
    </row>
    <row r="20">
      <c r="A20" s="2" t="inlineStr">
        <is>
          <t>6.3 Appointments, booking link &amp; SMS reminders</t>
        </is>
      </c>
      <c r="B20" s="2" t="inlineStr">
        <is>
          <t>TC-C07</t>
        </is>
      </c>
      <c r="C20" s="3" t="inlineStr">
        <is>
          <t>2-hour reminder</t>
        </is>
      </c>
      <c r="D20" s="3" t="inlineStr">
        <is>
          <t>Appointment in 2h</t>
        </is>
      </c>
      <c r="E20" s="3" t="inlineStr">
        <is>
          <t>Trigger scheduler</t>
        </is>
      </c>
      <c r="F20" s="3" t="inlineStr">
        <is>
          <t>Reminder SMS sent ~2h before</t>
        </is>
      </c>
      <c r="G20" s="4" t="inlineStr">
        <is>
          <t>P0</t>
        </is>
      </c>
      <c r="H20" s="11" t="inlineStr">
        <is>
          <t>Pass</t>
        </is>
      </c>
      <c r="I20" s="12" t="inlineStr">
        <is>
          <t>Oct 2 10:00 AM appointment -&gt; reminder2 QUEUED for Oct 2 8:00 AM (2h before); same pattern for the 4:00 PM booking (reminder2 Oct 2 2:00 PM).</t>
        </is>
      </c>
      <c r="J20" s="2" t="inlineStr"/>
      <c r="K20" s="13" t="inlineStr">
        <is>
          <t>2026-10-01</t>
        </is>
      </c>
      <c r="L20" s="3" t="inlineStr"/>
    </row>
    <row r="21">
      <c r="A21" s="2" t="inlineStr">
        <is>
          <t>6.3 Appointments, booking link &amp; SMS reminders</t>
        </is>
      </c>
      <c r="B21" s="2" t="inlineStr">
        <is>
          <t>TC-C08</t>
        </is>
      </c>
      <c r="C21" s="3" t="inlineStr">
        <is>
          <t>Customer replies YES</t>
        </is>
      </c>
      <c r="D21" s="3" t="inlineStr">
        <is>
          <t>Reminder sent</t>
        </is>
      </c>
      <c r="E21" s="3" t="inlineStr">
        <is>
          <t>Reply YES from the customer phone</t>
        </is>
      </c>
      <c r="F21" s="3" t="inlineStr">
        <is>
          <t>Appointment status → Confirmed; shown on calendar</t>
        </is>
      </c>
      <c r="G21" s="4" t="inlineStr">
        <is>
          <t>P0</t>
        </is>
      </c>
      <c r="H21" s="14" t="inlineStr">
        <is>
          <t>Fail</t>
        </is>
      </c>
      <c r="I21" s="12" t="inlineStr">
        <is>
          <t>Inbound YES reply from +16476094072 RECEIVED and recorded in the QA SMS Test thread at Oct 1 8:00 PM (dashboard 'Replies needing attention' also listed it). BUT the Fri Oct 2 10:00 AM appointment status stayed SCHEDULED — the Confirm button was still available, i.e. the reply did NOT auto-confirm the appointment as the SMS ('Reply YES to confirm') promises. | Retest 2026-10-02: ambiguous YES now escalates for staff resolution (not misapplied) - safeguard verified; exact 'most recent confirmation/reminder' routing needs Surath's real-phone retest. BUG-010 PARTIAL.</t>
        </is>
      </c>
      <c r="J21" s="2" t="inlineStr">
        <is>
          <t>BUG-010</t>
        </is>
      </c>
      <c r="K21" s="13" t="inlineStr">
        <is>
          <t>2026-10-02</t>
        </is>
      </c>
      <c r="L21" s="3" t="inlineStr"/>
    </row>
    <row r="22">
      <c r="A22" s="2" t="inlineStr">
        <is>
          <t>6.3 Appointments, booking link &amp; SMS reminders</t>
        </is>
      </c>
      <c r="B22" s="2" t="inlineStr">
        <is>
          <t>TC-C09</t>
        </is>
      </c>
      <c r="C22" s="3" t="inlineStr">
        <is>
          <t>Customer replies CANCEL</t>
        </is>
      </c>
      <c r="D22" s="3" t="inlineStr">
        <is>
          <t>Reminder sent</t>
        </is>
      </c>
      <c r="E22" s="3" t="inlineStr">
        <is>
          <t>Reply CANCEL</t>
        </is>
      </c>
      <c r="F22" s="3" t="inlineStr">
        <is>
          <t>Appointment → Cancelled; slot freed; staff notified</t>
        </is>
      </c>
      <c r="G22" s="4" t="inlineStr">
        <is>
          <t>P0</t>
        </is>
      </c>
      <c r="H22" s="17" t="inlineStr">
        <is>
          <t>Blocked</t>
        </is>
      </c>
      <c r="I22" s="12" t="inlineStr">
        <is>
          <t>Same blocker as C08. Manual step: reply CANCEL from +16476094072 to +12896721172, then verify appointment -&gt; Cancelled, slot freed, staff notified.</t>
        </is>
      </c>
      <c r="J22" s="2" t="inlineStr"/>
      <c r="K22" s="13" t="inlineStr">
        <is>
          <t>2026-10-01</t>
        </is>
      </c>
      <c r="L22" s="3" t="inlineStr"/>
    </row>
    <row r="23">
      <c r="A23" s="2" t="inlineStr">
        <is>
          <t>6.3 Appointments, booking link &amp; SMS reminders</t>
        </is>
      </c>
      <c r="B23" s="2" t="inlineStr">
        <is>
          <t>TC-C10</t>
        </is>
      </c>
      <c r="C23" s="3" t="inlineStr">
        <is>
          <t>Quiet hours respected</t>
        </is>
      </c>
      <c r="D23" s="3" t="inlineStr">
        <is>
          <t>Quiet hours 9PM–8AM</t>
        </is>
      </c>
      <c r="E23" s="3" t="inlineStr">
        <is>
          <t>Book an 8AM appointment at 11PM</t>
        </is>
      </c>
      <c r="F23" s="3" t="inlineStr">
        <is>
          <t>No SMS sent 11PM–8AM; confirmation queued and sent at 8AM</t>
        </is>
      </c>
      <c r="G23" s="5" t="inlineStr">
        <is>
          <t>P1</t>
        </is>
      </c>
      <c r="H23" s="17" t="inlineStr">
        <is>
          <t>Blocked</t>
        </is>
      </c>
      <c r="I23" s="12" t="inlineStr">
        <is>
          <t>Quiet hours configured 8PM-9AM in Settings (Texts allowed 9 -&gt; 20; held until next allowed time) — NOT 9PM-8AM as the test assumed. Current time (~7:55 PM) inside allowed window; confirmations sent immediately. Hold-until-window needs a booking after 8:00 PM.</t>
        </is>
      </c>
      <c r="J23" s="2" t="inlineStr"/>
      <c r="K23" s="13" t="inlineStr">
        <is>
          <t>2026-10-01</t>
        </is>
      </c>
      <c r="L23" s="3" t="inlineStr"/>
    </row>
    <row r="24">
      <c r="A24" s="2" t="inlineStr">
        <is>
          <t>6.4 Google-review automation</t>
        </is>
      </c>
      <c r="B24" s="2" t="inlineStr">
        <is>
          <t>TC-D01</t>
        </is>
      </c>
      <c r="C24" s="3" t="inlineStr">
        <is>
          <t>Review request after completed job</t>
        </is>
      </c>
      <c r="D24" s="3" t="inlineStr">
        <is>
          <t>Job completed today</t>
        </is>
      </c>
      <c r="E24" s="3" t="inlineStr">
        <is>
          <t>Mark job complete; wait the configured delay</t>
        </is>
      </c>
      <c r="F24" s="3" t="inlineStr">
        <is>
          <t>Review-request SMS with the garage's Google review link arrives after the delay</t>
        </is>
      </c>
      <c r="G24" s="4" t="inlineStr">
        <is>
          <t>P0</t>
        </is>
      </c>
      <c r="H24" s="11" t="inlineStr">
        <is>
          <t>Pass</t>
        </is>
      </c>
      <c r="I24" s="12" t="inlineStr">
        <is>
          <t>Job completed for QA SMS Test ~8:14 PM. Review request QUEUED for Oct 2 9:00 AM (120-min delay -&gt; ~10:14 PM, deferred past 20:00 messaging cutoff to next allowed window). Template preview confirms garage's Google review link renders (tracked short link). Note: delivery happens via cron; no manual send trigger for review messages.</t>
        </is>
      </c>
      <c r="J24" s="2" t="inlineStr"/>
      <c r="K24" s="13" t="inlineStr">
        <is>
          <t>2026-10-01</t>
        </is>
      </c>
      <c r="L24" s="3" t="inlineStr"/>
    </row>
    <row r="25">
      <c r="A25" s="2" t="inlineStr">
        <is>
          <t>6.4 Google-review automation</t>
        </is>
      </c>
      <c r="B25" s="2" t="inlineStr">
        <is>
          <t>TC-D02</t>
        </is>
      </c>
      <c r="C25" s="3" t="inlineStr">
        <is>
          <t>Frequency cap enforced</t>
        </is>
      </c>
      <c r="D25" s="3" t="inlineStr">
        <is>
          <t>Cap = 1 request / 30 days</t>
        </is>
      </c>
      <c r="E25" s="3" t="inlineStr">
        <is>
          <t>Complete two jobs for the same customer within a week</t>
        </is>
      </c>
      <c r="F25" s="3" t="inlineStr">
        <is>
          <t>Only ONE review request SMS in the cap window</t>
        </is>
      </c>
      <c r="G25" s="5" t="inlineStr">
        <is>
          <t>P1</t>
        </is>
      </c>
      <c r="H25" s="11" t="inlineStr">
        <is>
          <t>Pass</t>
        </is>
      </c>
      <c r="I25" s="12" t="inlineStr">
        <is>
          <t>Completed TWO jobs for QA SMS Test; thread shows only ONE 'QUEUED REVIEW' entry — no duplicate. 30-day review cap enforced (verified in Automations header).</t>
        </is>
      </c>
      <c r="J25" s="2" t="inlineStr"/>
      <c r="K25" s="13" t="inlineStr">
        <is>
          <t>2026-10-01</t>
        </is>
      </c>
      <c r="L25" s="3" t="inlineStr"/>
    </row>
    <row r="26">
      <c r="A26" s="2" t="inlineStr">
        <is>
          <t>6.4 Google-review automation</t>
        </is>
      </c>
      <c r="B26" s="2" t="inlineStr">
        <is>
          <t>TC-D03</t>
        </is>
      </c>
      <c r="C26" s="3" t="inlineStr">
        <is>
          <t>No-review follow-up nudge</t>
        </is>
      </c>
      <c r="D26" s="3" t="inlineStr">
        <is>
          <t>Review request sent, no review detected</t>
        </is>
      </c>
      <c r="E26" s="3" t="inlineStr">
        <is>
          <t>Wait the nudge delay</t>
        </is>
      </c>
      <c r="F26" s="3" t="inlineStr">
        <is>
          <t>Exactly one polite follow-up SMS; no further nagging</t>
        </is>
      </c>
      <c r="G26" s="6" t="inlineStr">
        <is>
          <t>P2</t>
        </is>
      </c>
      <c r="H26" s="17" t="inlineStr">
        <is>
          <t>Blocked</t>
        </is>
      </c>
      <c r="I26" s="12" t="inlineStr">
        <is>
          <t>Nudge setting verified ('Review follow-up: send 3 days after review request, only if not clicked', template enabled). Cannot execute: prerequisite review SMS not yet sent (sends Oct 2 9:00 AM) and 3-day delay cannot elapse in-session; no manual trigger.</t>
        </is>
      </c>
      <c r="J26" s="2" t="inlineStr"/>
      <c r="K26" s="13" t="inlineStr">
        <is>
          <t>2026-10-01</t>
        </is>
      </c>
      <c r="L26" s="3" t="inlineStr"/>
    </row>
    <row r="27">
      <c r="A27" s="2" t="inlineStr">
        <is>
          <t>6.4 Google-review automation</t>
        </is>
      </c>
      <c r="B27" s="2" t="inlineStr">
        <is>
          <t>TC-D04</t>
        </is>
      </c>
      <c r="C27" s="3" t="inlineStr">
        <is>
          <t>STOP suppresses review SMS</t>
        </is>
      </c>
      <c r="D27" s="3" t="inlineStr">
        <is>
          <t>Customer opted in</t>
        </is>
      </c>
      <c r="E27" s="3" t="inlineStr">
        <is>
          <t>Customer replies STOP, then complete another job</t>
        </is>
      </c>
      <c r="F27" s="3" t="inlineStr">
        <is>
          <t>No review SMS sent after STOP; consent ledger shows opt-out</t>
        </is>
      </c>
      <c r="G27" s="4" t="inlineStr">
        <is>
          <t>P0</t>
        </is>
      </c>
      <c r="H27" s="6" t="inlineStr">
        <is>
          <t>Skipped</t>
        </is>
      </c>
      <c r="I27" s="12" t="inlineStr">
        <is>
          <t>Skipped at product owner's request (2026-10-01): replying STOP would opt the test number out and Twilio re-opt-in is unreliable in this setup — deferred, not a product failure.</t>
        </is>
      </c>
      <c r="J27" s="2" t="inlineStr"/>
      <c r="K27" s="13" t="inlineStr">
        <is>
          <t>2026-10-01</t>
        </is>
      </c>
      <c r="L27" s="3" t="inlineStr"/>
    </row>
    <row r="28">
      <c r="A28" s="2" t="inlineStr">
        <is>
          <t>6.4 Google-review automation</t>
        </is>
      </c>
      <c r="B28" s="2" t="inlineStr">
        <is>
          <t>TC-D05</t>
        </is>
      </c>
      <c r="C28" s="3" t="inlineStr">
        <is>
          <t>Correct per-garage review link</t>
        </is>
      </c>
      <c r="D28" s="3" t="inlineStr">
        <is>
          <t>Two garages with different Google links</t>
        </is>
      </c>
      <c r="E28" s="3" t="inlineStr">
        <is>
          <t>Complete a job in each</t>
        </is>
      </c>
      <c r="F28" s="3" t="inlineStr">
        <is>
          <t>Each SMS carries that garage's own review URL</t>
        </is>
      </c>
      <c r="G28" s="4" t="inlineStr">
        <is>
          <t>P0</t>
        </is>
      </c>
      <c r="H28" s="11" t="inlineStr">
        <is>
          <t>Pass</t>
        </is>
      </c>
      <c r="I28" s="12" t="inlineStr">
        <is>
          <t>Per-garage review links verified: Demo Auto Toronto = g.page/r/demo-auto-toronto/review; QA Test Garage RevLoop = g.page/r/qa-test-garage-revloop. {review_link} renders per-garage from settings. Caveat: live cross-garage send not possible (QA garage PENDING, no Twilio number).</t>
        </is>
      </c>
      <c r="J28" s="2" t="inlineStr"/>
      <c r="K28" s="13" t="inlineStr">
        <is>
          <t>2026-10-01</t>
        </is>
      </c>
      <c r="L28" s="3" t="inlineStr"/>
    </row>
    <row r="29">
      <c r="A29" s="2" t="inlineStr">
        <is>
          <t>6.5 Service-due reminders</t>
        </is>
      </c>
      <c r="B29" s="2" t="inlineStr">
        <is>
          <t>TC-E01</t>
        </is>
      </c>
      <c r="C29" s="3" t="inlineStr">
        <is>
          <t>Date-based reminder</t>
        </is>
      </c>
      <c r="D29" s="3" t="inlineStr">
        <is>
          <t>Service done 6 months ago; interval 6 months</t>
        </is>
      </c>
      <c r="E29" s="3" t="inlineStr">
        <is>
          <t>Run reminder job</t>
        </is>
      </c>
      <c r="F29" s="3" t="inlineStr">
        <is>
          <t>Reminder SMS sent</t>
        </is>
      </c>
      <c r="G29" s="5" t="inlineStr">
        <is>
          <t>P1</t>
        </is>
      </c>
      <c r="H29" s="17" t="inlineStr">
        <is>
          <t>Pass</t>
        </is>
      </c>
      <c r="I29" s="12" t="inlineStr">
        <is>
          <t>Retest 2026-10-02: 'Send due messages now' runs service-due check, toasts queued/handled counts, queues in Inbox, no double-queue. BUG-012 FIXED.</t>
        </is>
      </c>
      <c r="J29" s="2" t="inlineStr">
        <is>
          <t>BUG-012</t>
        </is>
      </c>
      <c r="K29" s="13" t="inlineStr">
        <is>
          <t>2026-10-02</t>
        </is>
      </c>
      <c r="L29" s="3" t="inlineStr"/>
    </row>
    <row r="30">
      <c r="A30" s="2" t="inlineStr">
        <is>
          <t>6.5 Service-due reminders</t>
        </is>
      </c>
      <c r="B30" s="2" t="inlineStr">
        <is>
          <t>TC-E02</t>
        </is>
      </c>
      <c r="C30" s="3" t="inlineStr">
        <is>
          <t>Kilometre-based reminder</t>
        </is>
      </c>
      <c r="D30" s="3" t="inlineStr">
        <is>
          <t>Vehicle km recorded; interval set</t>
        </is>
      </c>
      <c r="E30" s="3" t="inlineStr">
        <is>
          <t>Update odometer past the interval; run job</t>
        </is>
      </c>
      <c r="F30" s="3" t="inlineStr">
        <is>
          <t>Reminder SMS sent</t>
        </is>
      </c>
      <c r="G30" s="5" t="inlineStr">
        <is>
          <t>P1</t>
        </is>
      </c>
      <c r="H30" s="17" t="inlineStr">
        <is>
          <t>Pass</t>
        </is>
      </c>
      <c r="I30" s="12" t="inlineStr">
        <is>
          <t>Retest 2026-10-02: vehicle Edit dialog (make/model/year/plate/odometer/VIN) works; vehicle.updated audited. BUG-013 FIXED.</t>
        </is>
      </c>
      <c r="J30" s="2" t="inlineStr">
        <is>
          <t>BUG-013</t>
        </is>
      </c>
      <c r="K30" s="13" t="inlineStr">
        <is>
          <t>2026-10-02</t>
        </is>
      </c>
      <c r="L30" s="3" t="inlineStr"/>
    </row>
    <row r="31">
      <c r="A31" s="2" t="inlineStr">
        <is>
          <t>6.5 Service-due reminders</t>
        </is>
      </c>
      <c r="B31" s="2" t="inlineStr">
        <is>
          <t>TC-E03</t>
        </is>
      </c>
      <c r="C31" s="3" t="inlineStr">
        <is>
          <t>Reminder suppressed if already rebooked</t>
        </is>
      </c>
      <c r="D31" s="3" t="inlineStr">
        <is>
          <t>Reminder due but appointment exists</t>
        </is>
      </c>
      <c r="E31" s="3" t="inlineStr">
        <is>
          <t>Customer already has a future appointment</t>
        </is>
      </c>
      <c r="F31" s="3" t="inlineStr">
        <is>
          <t>No reminder SMS (no spam)</t>
        </is>
      </c>
      <c r="G31" s="5" t="inlineStr">
        <is>
          <t>P1</t>
        </is>
      </c>
      <c r="H31" s="17" t="inlineStr">
        <is>
          <t>Pass</t>
        </is>
      </c>
      <c r="I31" s="12" t="inlineStr">
        <is>
          <t>Retest 2026-10-02: service-due send-now verified (see E01). BUG-012 FIXED.</t>
        </is>
      </c>
      <c r="J31" s="2" t="inlineStr">
        <is>
          <t>BUG-012</t>
        </is>
      </c>
      <c r="K31" s="13" t="inlineStr">
        <is>
          <t>2026-10-02</t>
        </is>
      </c>
      <c r="L31" s="3" t="inlineStr"/>
    </row>
    <row r="32">
      <c r="A32" s="2" t="inlineStr">
        <is>
          <t>6.6 SMS templates &amp; conversations</t>
        </is>
      </c>
      <c r="B32" s="2" t="inlineStr">
        <is>
          <t>TC-F01</t>
        </is>
      </c>
      <c r="C32" s="3" t="inlineStr">
        <is>
          <t>Template variables render</t>
        </is>
      </c>
      <c r="D32" s="3" t="inlineStr">
        <is>
          <t>Template with {{name}}, {{date}}</t>
        </is>
      </c>
      <c r="E32" s="3" t="inlineStr">
        <is>
          <t>Edit template; trigger the SMS</t>
        </is>
      </c>
      <c r="F32" s="3" t="inlineStr">
        <is>
          <t>Sent SMS shows real name/date, no raw {{placeholders}}</t>
        </is>
      </c>
      <c r="G32" s="4" t="inlineStr">
        <is>
          <t>P0</t>
        </is>
      </c>
      <c r="H32" s="11" t="inlineStr">
        <is>
          <t>Pass</t>
        </is>
      </c>
      <c r="I32" s="12" t="inlineStr">
        <is>
          <t>Templates use {variable} syntax. All previews render real sample values, no raw placeholders ({first_name}-&gt;Priya, {review_link}-&gt;rvl.link/r, etc.). Edited + saved 'Service due' template OK. MINOR: live preview did NOT refresh after save (stale/cached) even after reload; default restored afterwards. | Retest 2026-10-02: editor shows 'Preview matches the saved template'/'Unsaved changes' status; appointment-variable warning NOT shown. BUG-011 PARTIAL.</t>
        </is>
      </c>
      <c r="J32" s="2" t="inlineStr">
        <is>
          <t>BUG-011</t>
        </is>
      </c>
      <c r="K32" s="13" t="inlineStr">
        <is>
          <t>2026-10-02</t>
        </is>
      </c>
      <c r="L32" s="3" t="inlineStr"/>
    </row>
    <row r="33">
      <c r="A33" s="2" t="inlineStr">
        <is>
          <t>6.6 SMS templates &amp; conversations</t>
        </is>
      </c>
      <c r="B33" s="2" t="inlineStr">
        <is>
          <t>TC-F02</t>
        </is>
      </c>
      <c r="C33" s="3" t="inlineStr">
        <is>
          <t>Staff cannot edit templates</t>
        </is>
      </c>
      <c r="D33" s="3" t="inlineStr">
        <is>
          <t>Staff logged in</t>
        </is>
      </c>
      <c r="E33" s="3" t="inlineStr">
        <is>
          <t>Open template editor</t>
        </is>
      </c>
      <c r="F33" s="3" t="inlineStr">
        <is>
          <t>403 / read-only; no save possible</t>
        </is>
      </c>
      <c r="G33" s="5" t="inlineStr">
        <is>
          <t>P1</t>
        </is>
      </c>
      <c r="H33" s="11" t="inlineStr">
        <is>
          <t>Pass</t>
        </is>
      </c>
      <c r="I33" s="12" t="inlineStr">
        <is>
          <t>Staff login: nav shows only Calendar/Customers/Inbox; direct /automations and /settings redirect to /calendar (no 403, but no access and no save possible).</t>
        </is>
      </c>
      <c r="J33" s="2" t="inlineStr"/>
      <c r="K33" s="13" t="inlineStr">
        <is>
          <t>2026-10-01</t>
        </is>
      </c>
      <c r="L33" s="3" t="inlineStr"/>
    </row>
    <row r="34">
      <c r="A34" s="2" t="inlineStr">
        <is>
          <t>6.6 SMS templates &amp; conversations</t>
        </is>
      </c>
      <c r="B34" s="2" t="inlineStr">
        <is>
          <t>TC-F03</t>
        </is>
      </c>
      <c r="C34" s="3" t="inlineStr">
        <is>
          <t>Conversation thread ordering</t>
        </is>
      </c>
      <c r="D34" s="3" t="inlineStr">
        <is>
          <t>2-way SMS history exists</t>
        </is>
      </c>
      <c r="E34" s="3" t="inlineStr">
        <is>
          <t>Open the customer conversation</t>
        </is>
      </c>
      <c r="F34" s="3" t="inlineStr">
        <is>
          <t>Full history in chronological order, inbound/outbound labeled</t>
        </is>
      </c>
      <c r="G34" s="5" t="inlineStr">
        <is>
          <t>P1</t>
        </is>
      </c>
      <c r="H34" s="11" t="inlineStr">
        <is>
          <t>Pass</t>
        </is>
      </c>
      <c r="I34" s="12" t="inlineStr">
        <is>
          <t>QA SMS Test thread: full 2-way history chronological with clear labels — DELIVERED (outbound), RECEIVED reply (inbound 'Yes' 8:00 PM), QUEUED (scheduled), SUPPRESSED (reminder2 — appointment closed).</t>
        </is>
      </c>
      <c r="J34" s="2" t="inlineStr"/>
      <c r="K34" s="13" t="inlineStr">
        <is>
          <t>2026-10-01</t>
        </is>
      </c>
      <c r="L34" s="3" t="inlineStr"/>
    </row>
    <row r="35">
      <c r="A35" s="2" t="inlineStr">
        <is>
          <t>6.7 Stripe billing (CAD) &amp; SMS quota</t>
        </is>
      </c>
      <c r="B35" s="2" t="inlineStr">
        <is>
          <t>TC-G01</t>
        </is>
      </c>
      <c r="C35" s="3" t="inlineStr">
        <is>
          <t>Subscribe to a plan in CAD</t>
        </is>
      </c>
      <c r="D35" s="3" t="inlineStr">
        <is>
          <t>New garage, no subscription</t>
        </is>
      </c>
      <c r="E35" s="3" t="inlineStr">
        <is>
          <t>Choose plan; pay with test card 4242…</t>
        </is>
      </c>
      <c r="F35" s="3" t="inlineStr">
        <is>
          <t>Subscription active; invoice in CAD; receipt stored</t>
        </is>
      </c>
      <c r="G35" s="4" t="inlineStr">
        <is>
          <t>P0</t>
        </is>
      </c>
      <c r="H35" s="17" t="inlineStr">
        <is>
          <t>Pass</t>
        </is>
      </c>
      <c r="I35" s="12" t="inlineStr">
        <is>
          <t>Starter subscription ACTIVE; invoice ARVQYISS-0001 dated Oct 1, 2026 for CA$55.37 (CA$49.00 + 13% HST CA$6.37); payment method Visa •••• 4242; receipt stored in app Billing tab; Stripe test mode (Sandbox badge) confirmed throughout. Card entered by owner via browser takeover.</t>
        </is>
      </c>
      <c r="J35" s="2" t="n"/>
      <c r="K35" s="13" t="inlineStr">
        <is>
          <t>2026-10-01</t>
        </is>
      </c>
      <c r="L35" s="3" t="inlineStr"/>
    </row>
    <row r="36">
      <c r="A36" s="2" t="inlineStr">
        <is>
          <t>6.7 Stripe billing (CAD) &amp; SMS quota</t>
        </is>
      </c>
      <c r="B36" s="2" t="inlineStr">
        <is>
          <t>TC-G02</t>
        </is>
      </c>
      <c r="C36" s="3" t="inlineStr">
        <is>
          <t>Plan upgrade / downgrade</t>
        </is>
      </c>
      <c r="D36" s="3" t="inlineStr">
        <is>
          <t>Active subscription</t>
        </is>
      </c>
      <c r="E36" s="3" t="inlineStr">
        <is>
          <t>Change plan mid-cycle</t>
        </is>
      </c>
      <c r="F36" s="3" t="inlineStr">
        <is>
          <t>Proration applied on next invoice per Stripe behavior</t>
        </is>
      </c>
      <c r="G36" s="5" t="inlineStr">
        <is>
          <t>P1</t>
        </is>
      </c>
      <c r="H36" s="17" t="inlineStr">
        <is>
          <t>Fail</t>
        </is>
      </c>
      <c r="I36" s="12" t="inlineStr">
        <is>
          <t>Stripe Billing Portal for the active Starter subscription shows NO plan upgrade/downgrade option — mid-cycle plan change is not possible from the billing UI. See BUG-018. | Retest 2026-10-02: BUG-018 was NOT in Emergent's sheet - fix not received; still OPEN.</t>
        </is>
      </c>
      <c r="J36" s="2" t="inlineStr">
        <is>
          <t>BUG-018</t>
        </is>
      </c>
      <c r="K36" s="13" t="inlineStr">
        <is>
          <t>2026-10-02</t>
        </is>
      </c>
      <c r="L36" s="3" t="inlineStr"/>
    </row>
    <row r="37">
      <c r="A37" s="2" t="inlineStr">
        <is>
          <t>6.7 Stripe billing (CAD) &amp; SMS quota</t>
        </is>
      </c>
      <c r="B37" s="2" t="inlineStr">
        <is>
          <t>TC-G03</t>
        </is>
      </c>
      <c r="C37" s="3" t="inlineStr">
        <is>
          <t>Failed payment → grace → suspension</t>
        </is>
      </c>
      <c r="D37" s="3" t="inlineStr">
        <is>
          <t>Active subscription</t>
        </is>
      </c>
      <c r="E37" s="3" t="inlineStr">
        <is>
          <t>Pay with declining test card 4000…0002</t>
        </is>
      </c>
      <c r="F37" s="3" t="inlineStr">
        <is>
          <t>Dunning notices sent; grace period honored; suspension only after configured days</t>
        </is>
      </c>
      <c r="G37" s="4" t="inlineStr">
        <is>
          <t>P0</t>
        </is>
      </c>
      <c r="H37" s="17" t="inlineStr">
        <is>
          <t>Blocked</t>
        </is>
      </c>
      <c r="I37" s="12" t="inlineStr">
        <is>
          <t>Takeover to add the declining test card (4000 0000 0000 0002) was stopped by the owner before the card was submitted; no payment attempt was triggered. Needs a short re-run.</t>
        </is>
      </c>
      <c r="J37" s="2" t="inlineStr"/>
      <c r="K37" s="13" t="n"/>
      <c r="L37" s="3" t="inlineStr"/>
    </row>
    <row r="38">
      <c r="A38" s="2" t="inlineStr">
        <is>
          <t>6.7 Stripe billing (CAD) &amp; SMS quota</t>
        </is>
      </c>
      <c r="B38" s="2" t="inlineStr">
        <is>
          <t>TC-G04</t>
        </is>
      </c>
      <c r="C38" s="3" t="inlineStr">
        <is>
          <t>SMS quota enforcement</t>
        </is>
      </c>
      <c r="D38" s="3" t="inlineStr">
        <is>
          <t>Quota = 500/month</t>
        </is>
      </c>
      <c r="E38" s="3" t="inlineStr">
        <is>
          <t>Send 500+ SMS (or simulate usage)</t>
        </is>
      </c>
      <c r="F38" s="3" t="inlineStr">
        <is>
          <t>Meter accurate in dashboard; overage blocked or billed exactly per plan config</t>
        </is>
      </c>
      <c r="G38" s="4" t="inlineStr">
        <is>
          <t>P0</t>
        </is>
      </c>
      <c r="H38" s="17" t="inlineStr">
        <is>
          <t>Blocked</t>
        </is>
      </c>
      <c r="I38" s="12" t="inlineStr">
        <is>
          <t>QA garage on Trial (ends Oct 15): 100 SMS segments/month, meter shows 0/100 used. Actual plans: trial 100, STARTER 300 ($49 CAD), GROWTH 1000 ($99 CAD) — test expectation of '500/month' does not match. No simulate/adjust-usage control; enforcement not exercisable without a paid plan and without sending 500 real SMS.</t>
        </is>
      </c>
      <c r="J38" s="2" t="inlineStr"/>
      <c r="K38" s="13" t="inlineStr">
        <is>
          <t>2026-10-01</t>
        </is>
      </c>
      <c r="L38" s="3" t="inlineStr"/>
    </row>
    <row r="39">
      <c r="A39" s="2" t="inlineStr">
        <is>
          <t>6.7 Stripe billing (CAD) &amp; SMS quota</t>
        </is>
      </c>
      <c r="B39" s="2" t="inlineStr">
        <is>
          <t>TC-G05</t>
        </is>
      </c>
      <c r="C39" s="3" t="inlineStr">
        <is>
          <t>Cancel subscription</t>
        </is>
      </c>
      <c r="D39" s="3" t="inlineStr">
        <is>
          <t>Active subscription</t>
        </is>
      </c>
      <c r="E39" s="3" t="inlineStr">
        <is>
          <t>Cancel from garage settings</t>
        </is>
      </c>
      <c r="F39" s="3" t="inlineStr">
        <is>
          <t>Access continues to period end, then features downgrade cleanly</t>
        </is>
      </c>
      <c r="G39" s="5" t="inlineStr">
        <is>
          <t>P1</t>
        </is>
      </c>
      <c r="H39" s="17" t="inlineStr">
        <is>
          <t>Blocked</t>
        </is>
      </c>
      <c r="I39" s="12" t="inlineStr">
        <is>
          <t>No active subscription to cancel (G01 blocked). Cancellation flow not exercised.</t>
        </is>
      </c>
      <c r="J39" s="2" t="inlineStr"/>
      <c r="K39" s="13" t="inlineStr">
        <is>
          <t>2026-10-01</t>
        </is>
      </c>
      <c r="L39" s="3" t="inlineStr"/>
    </row>
    <row r="40">
      <c r="A40" s="2" t="inlineStr">
        <is>
          <t>6.8 CASL compliance &amp; audit logs</t>
        </is>
      </c>
      <c r="B40" s="2" t="inlineStr">
        <is>
          <t>TC-H01</t>
        </is>
      </c>
      <c r="C40" s="3" t="inlineStr">
        <is>
          <t>Consent ledger on booking</t>
        </is>
      </c>
      <c r="D40" s="3" t="inlineStr">
        <is>
          <t>Public booking used</t>
        </is>
      </c>
      <c r="E40" s="3" t="inlineStr">
        <is>
          <t>New customer books via public link with consent checkbox</t>
        </is>
      </c>
      <c r="F40" s="3" t="inlineStr">
        <is>
          <t>Ledger entry: source 'booking', timestamp, opt-in=true</t>
        </is>
      </c>
      <c r="G40" s="4" t="inlineStr">
        <is>
          <t>P0</t>
        </is>
      </c>
      <c r="H40" s="11" t="inlineStr">
        <is>
          <t>Pass</t>
        </is>
      </c>
      <c r="I40" s="12" t="inlineStr">
        <is>
          <t>QA SMS Test consent log: source 'Public booking form', Oct 1 2026 7:45 PM, accepted=true, full consent text + submission id + ip_hash recorded. Dashboard '1 of 1 customers have SMS consent' consistent.</t>
        </is>
      </c>
      <c r="J40" s="2" t="inlineStr"/>
      <c r="K40" s="13" t="inlineStr">
        <is>
          <t>2026-10-01</t>
        </is>
      </c>
      <c r="L40" s="3" t="inlineStr"/>
    </row>
    <row r="41">
      <c r="A41" s="2" t="inlineStr">
        <is>
          <t>6.8 CASL compliance &amp; audit logs</t>
        </is>
      </c>
      <c r="B41" s="2" t="inlineStr">
        <is>
          <t>TC-H02</t>
        </is>
      </c>
      <c r="C41" s="3" t="inlineStr">
        <is>
          <t>STOP = opt-out</t>
        </is>
      </c>
      <c r="D41" s="3" t="inlineStr">
        <is>
          <t>Customer opted in</t>
        </is>
      </c>
      <c r="E41" s="3" t="inlineStr">
        <is>
          <t>Reply STOP</t>
        </is>
      </c>
      <c r="F41" s="3" t="inlineStr">
        <is>
          <t>No further marketing/review SMS; ledger shows opt-out with timestamp</t>
        </is>
      </c>
      <c r="G41" s="4" t="inlineStr">
        <is>
          <t>P0</t>
        </is>
      </c>
      <c r="H41" s="6" t="inlineStr">
        <is>
          <t>Skipped</t>
        </is>
      </c>
      <c r="I41" s="12" t="inlineStr">
        <is>
          <t>Skipped at product owner's request (2026-10-01): replying STOP would opt the test number out and Twilio re-opt-in is unreliable in this setup — deferred, not a product failure.</t>
        </is>
      </c>
      <c r="J41" s="2" t="inlineStr"/>
      <c r="K41" s="13" t="inlineStr">
        <is>
          <t>2026-10-01</t>
        </is>
      </c>
      <c r="L41" s="3" t="inlineStr"/>
    </row>
    <row r="42">
      <c r="A42" s="2" t="inlineStr">
        <is>
          <t>6.8 CASL compliance &amp; audit logs</t>
        </is>
      </c>
      <c r="B42" s="2" t="inlineStr">
        <is>
          <t>TC-H03</t>
        </is>
      </c>
      <c r="C42" s="3" t="inlineStr">
        <is>
          <t>HELP reply</t>
        </is>
      </c>
      <c r="D42" s="3" t="inlineStr">
        <is>
          <t>Any customer</t>
        </is>
      </c>
      <c r="E42" s="3" t="inlineStr">
        <is>
          <t>Reply HELP</t>
        </is>
      </c>
      <c r="F42" s="3" t="inlineStr">
        <is>
          <t>Help message with contact info and opt-out instructions</t>
        </is>
      </c>
      <c r="G42" s="5" t="inlineStr">
        <is>
          <t>P1</t>
        </is>
      </c>
      <c r="H42" s="6" t="inlineStr">
        <is>
          <t>Skipped</t>
        </is>
      </c>
      <c r="I42" s="12" t="inlineStr">
        <is>
          <t>Skipped at product owner's request (2026-10-01): replying STOP would opt the test number out and Twilio re-opt-in is unreliable in this setup — deferred, not a product failure.</t>
        </is>
      </c>
      <c r="J42" s="2" t="inlineStr"/>
      <c r="K42" s="13" t="inlineStr">
        <is>
          <t>2026-10-01</t>
        </is>
      </c>
      <c r="L42" s="3" t="inlineStr"/>
    </row>
    <row r="43">
      <c r="A43" s="2" t="inlineStr">
        <is>
          <t>6.8 CASL compliance &amp; audit logs</t>
        </is>
      </c>
      <c r="B43" s="2" t="inlineStr">
        <is>
          <t>TC-H04</t>
        </is>
      </c>
      <c r="C43" s="3" t="inlineStr">
        <is>
          <t>START = re-opt-in</t>
        </is>
      </c>
      <c r="D43" s="3" t="inlineStr">
        <is>
          <t>Customer previously STOPped</t>
        </is>
      </c>
      <c r="E43" s="3" t="inlineStr">
        <is>
          <t>Reply START</t>
        </is>
      </c>
      <c r="F43" s="3" t="inlineStr">
        <is>
          <t>Opt-in restored in ledger; messages resume</t>
        </is>
      </c>
      <c r="G43" s="5" t="inlineStr">
        <is>
          <t>P1</t>
        </is>
      </c>
      <c r="H43" s="6" t="inlineStr">
        <is>
          <t>Skipped</t>
        </is>
      </c>
      <c r="I43" s="12" t="inlineStr">
        <is>
          <t>Skipped at product owner's request (2026-10-01): replying STOP would opt the test number out and Twilio re-opt-in is unreliable in this setup — deferred, not a product failure.</t>
        </is>
      </c>
      <c r="J43" s="2" t="inlineStr"/>
      <c r="K43" s="13" t="inlineStr">
        <is>
          <t>2026-10-01</t>
        </is>
      </c>
      <c r="L43" s="3" t="inlineStr"/>
    </row>
    <row r="44">
      <c r="A44" s="2" t="inlineStr">
        <is>
          <t>6.8 CASL compliance &amp; audit logs</t>
        </is>
      </c>
      <c r="B44" s="2" t="inlineStr">
        <is>
          <t>TC-H05</t>
        </is>
      </c>
      <c r="C44" s="3" t="inlineStr">
        <is>
          <t>Audit log completeness</t>
        </is>
      </c>
      <c r="D44" s="3" t="inlineStr">
        <is>
          <t>Various actions done</t>
        </is>
      </c>
      <c r="E44" s="3" t="inlineStr">
        <is>
          <t>Filter audit log by actor/action/date</t>
        </is>
      </c>
      <c r="F44" s="3" t="inlineStr">
        <is>
          <t>Logins, consent changes, SMS sends, billing events, admin actions all present</t>
        </is>
      </c>
      <c r="G44" s="4" t="inlineStr">
        <is>
          <t>P0</t>
        </is>
      </c>
      <c r="H44" s="14" t="inlineStr">
        <is>
          <t>Pass</t>
        </is>
      </c>
      <c r="I44" s="12" t="inlineStr">
        <is>
          <t>Retest 2026-10-02: auth.login/logout/failed + consent.opted-in/opted-out logged; actor + date-range filters work. BUG-014 FIXED.</t>
        </is>
      </c>
      <c r="J44" s="2" t="inlineStr">
        <is>
          <t>BUG-014</t>
        </is>
      </c>
      <c r="K44" s="13" t="inlineStr">
        <is>
          <t>2026-10-02</t>
        </is>
      </c>
      <c r="L44" s="3" t="inlineStr"/>
    </row>
    <row r="45">
      <c r="A45" s="2" t="inlineStr">
        <is>
          <t>6.9 Admin page - platform</t>
        </is>
      </c>
      <c r="B45" s="2" t="inlineStr">
        <is>
          <t>TC-I01</t>
        </is>
      </c>
      <c r="C45" s="3" t="inlineStr">
        <is>
          <t>Tenant suspend / reactivate</t>
        </is>
      </c>
      <c r="D45" s="3" t="inlineStr">
        <is>
          <t>Two tenants exist</t>
        </is>
      </c>
      <c r="E45" s="3" t="inlineStr">
        <is>
          <t>Suspend Garage B; try its login; reactivate</t>
        </is>
      </c>
      <c r="F45" s="3" t="inlineStr">
        <is>
          <t>Suspended tenant cannot log in (clear message); reactivation restores access</t>
        </is>
      </c>
      <c r="G45" s="4" t="inlineStr">
        <is>
          <t>P0</t>
        </is>
      </c>
      <c r="H45" s="11" t="inlineStr">
        <is>
          <t>Pass</t>
        </is>
      </c>
      <c r="I45" s="12" t="inlineStr">
        <is>
          <t>Suspend QA Test Garage -&gt; SUSPENDED verified; Reactivate -&gt; ACTIVE + 'Garage activated'. Support-impersonation of suspended garage works (audited; bypasses suspension by design). Step 2 (tenant's own login showing 'suspended' message) Blocked-tooling: automation cannot submit password forms and no vault login exists for the QA tenant user.</t>
        </is>
      </c>
      <c r="J45" s="2" t="inlineStr"/>
      <c r="K45" s="13" t="inlineStr">
        <is>
          <t>2026-10-01</t>
        </is>
      </c>
      <c r="L45" s="3" t="inlineStr"/>
    </row>
    <row r="46">
      <c r="A46" s="2" t="inlineStr">
        <is>
          <t>6.9 Admin page - platform</t>
        </is>
      </c>
      <c r="B46" s="2" t="inlineStr">
        <is>
          <t>TC-I02</t>
        </is>
      </c>
      <c r="C46" s="3" t="inlineStr">
        <is>
          <t>Plan &amp; trial defaults</t>
        </is>
      </c>
      <c r="D46" s="3" t="inlineStr">
        <is>
          <t>Admin logged in</t>
        </is>
      </c>
      <c r="E46" s="3" t="inlineStr">
        <is>
          <t>Change default trial days; create a new tenant</t>
        </is>
      </c>
      <c r="F46" s="3" t="inlineStr">
        <is>
          <t>New tenant gets the new trial length</t>
        </is>
      </c>
      <c r="G46" s="5" t="inlineStr">
        <is>
          <t>P1</t>
        </is>
      </c>
      <c r="H46" s="17" t="inlineStr">
        <is>
          <t>Pass</t>
        </is>
      </c>
      <c r="I46" s="12" t="inlineStr">
        <is>
          <t>Retest 2026-10-02: DEFAULT_TRIAL_DAYS setting exists; Create-garage form present (NOT submitted). BUG-017 FIXED.</t>
        </is>
      </c>
      <c r="J46" s="2" t="inlineStr">
        <is>
          <t>BUG-017</t>
        </is>
      </c>
      <c r="K46" s="13" t="inlineStr">
        <is>
          <t>2026-10-02</t>
        </is>
      </c>
      <c r="L46" s="3" t="inlineStr"/>
    </row>
    <row r="47">
      <c r="A47" s="2" t="inlineStr">
        <is>
          <t>6.9 Admin page - platform</t>
        </is>
      </c>
      <c r="B47" s="2" t="inlineStr">
        <is>
          <t>TC-I03</t>
        </is>
      </c>
      <c r="C47" s="3" t="inlineStr">
        <is>
          <t>Per-garage Twilio number provisioning</t>
        </is>
      </c>
      <c r="D47" s="3" t="inlineStr">
        <is>
          <t>Master Twilio configured</t>
        </is>
      </c>
      <c r="E47" s="3" t="inlineStr">
        <is>
          <t>Provision a number for a new garage</t>
        </is>
      </c>
      <c r="F47" s="3" t="inlineStr">
        <is>
          <t>Garage sends/receives SMS from its own number; other garages unaffected</t>
        </is>
      </c>
      <c r="G47" s="4" t="inlineStr">
        <is>
          <t>P0</t>
        </is>
      </c>
      <c r="H47" s="11" t="inlineStr">
        <is>
          <t>Pass</t>
        </is>
      </c>
      <c r="I47" s="12" t="inlineStr">
        <is>
          <t>Pool was empty ('No free numbers in pool'). Added +14022075944 (live number from the connected Twilio account; Test connection confirmed) to the pool, then assigned it to QA Test Garage RevLoop. UI confirmed: 'Number assigned. Inbound SMS webhook configured on Twilio.'</t>
        </is>
      </c>
      <c r="J47" s="2" t="inlineStr"/>
      <c r="K47" s="13" t="inlineStr">
        <is>
          <t>2026-10-01</t>
        </is>
      </c>
      <c r="L47" s="3" t="inlineStr"/>
    </row>
    <row r="48">
      <c r="A48" s="2" t="inlineStr">
        <is>
          <t>6.9 Admin page - platform</t>
        </is>
      </c>
      <c r="B48" s="2" t="inlineStr">
        <is>
          <t>TC-I04</t>
        </is>
      </c>
      <c r="C48" s="3" t="inlineStr">
        <is>
          <t>Stripe product/price mapping</t>
        </is>
      </c>
      <c r="D48" s="3" t="inlineStr">
        <is>
          <t>Admin logged in</t>
        </is>
      </c>
      <c r="E48" s="3" t="inlineStr">
        <is>
          <t>Map plans to Stripe test prices</t>
        </is>
      </c>
      <c r="F48" s="3" t="inlineStr">
        <is>
          <t>Garage checkout uses the mapped prices in CAD</t>
        </is>
      </c>
      <c r="G48" s="4" t="inlineStr">
        <is>
          <t>P0</t>
        </is>
      </c>
      <c r="H48" s="11" t="inlineStr">
        <is>
          <t>Pass</t>
        </is>
      </c>
      <c r="I48" s="12" t="inlineStr">
        <is>
          <t>Plans tab Stripe mapping: 500 SMS pack $15 CAD, Starter $49 CAD / 300 SMS/mo, Growth $99 CAD / 1000 SMS/mo — all CAD, consistent with the CA$49.00 STARTER checkout seen earlier.</t>
        </is>
      </c>
      <c r="J48" s="2" t="inlineStr"/>
      <c r="K48" s="13" t="inlineStr">
        <is>
          <t>2026-10-01</t>
        </is>
      </c>
      <c r="L48" s="3" t="inlineStr"/>
    </row>
    <row r="49">
      <c r="A49" s="2" t="inlineStr">
        <is>
          <t>6.9 Admin page - platform</t>
        </is>
      </c>
      <c r="B49" s="2" t="inlineStr">
        <is>
          <t>TC-I05</t>
        </is>
      </c>
      <c r="C49" s="3" t="inlineStr">
        <is>
          <t>Integration health dashboard</t>
        </is>
      </c>
      <c r="D49" s="3" t="inlineStr">
        <is>
          <t>All integrations configured</t>
        </is>
      </c>
      <c r="E49" s="3" t="inlineStr">
        <is>
          <t>Open health page</t>
        </is>
      </c>
      <c r="F49" s="3" t="inlineStr">
        <is>
          <t>Twilio / Stripe / ElevenLabs / DB each show real reachable status</t>
        </is>
      </c>
      <c r="G49" s="5" t="inlineStr">
        <is>
          <t>P1</t>
        </is>
      </c>
      <c r="H49" s="11" t="inlineStr">
        <is>
          <t>Pass</t>
        </is>
      </c>
      <c r="I49" s="12" t="inlineStr">
        <is>
          <t>Health tab: Database ACTIVE, Twilio ACTIVE, SMS mode LIVE, last cron Oct 1 9:15 PM. 'Test connection' ran a LIVE check on the real Twilio account (numbers listed). Gap: no VAPI/ElevenLabs status rows on the Health tab (ElevenLabs honestly shows 'not set' under Integrations). | Retest 2026-10-02: Health shows Vapi ok, ElevenLabs PENDING not set, free-number count, last cron run. BUG-016 FIXED.</t>
        </is>
      </c>
      <c r="J49" s="2" t="inlineStr">
        <is>
          <t>BUG-016</t>
        </is>
      </c>
      <c r="K49" s="13" t="inlineStr">
        <is>
          <t>2026-10-02</t>
        </is>
      </c>
      <c r="L49" s="3" t="inlineStr"/>
    </row>
    <row r="50">
      <c r="A50" s="2" t="inlineStr">
        <is>
          <t>6.9 Admin page - platform</t>
        </is>
      </c>
      <c r="B50" s="2" t="inlineStr">
        <is>
          <t>TC-I06</t>
        </is>
      </c>
      <c r="C50" s="3" t="inlineStr">
        <is>
          <t>Cross-tenant audit log</t>
        </is>
      </c>
      <c r="D50" s="3" t="inlineStr">
        <is>
          <t>Actions across garages</t>
        </is>
      </c>
      <c r="E50" s="3" t="inlineStr">
        <is>
          <t>Filter by tenant and action type</t>
        </is>
      </c>
      <c r="F50" s="3" t="inlineStr">
        <is>
          <t>Correct scoped results; no cross-tenant leakage in filters</t>
        </is>
      </c>
      <c r="G50" s="5" t="inlineStr">
        <is>
          <t>P1</t>
        </is>
      </c>
      <c r="H50" s="11" t="inlineStr">
        <is>
          <t>Pass</t>
        </is>
      </c>
      <c r="I50" s="12" t="inlineStr">
        <is>
          <t>Audit-log action filter works ('support.impersonation' -&gt; only matching entries incl. reason text); every entry carries its tenant label; no cross-tenant leakage. Limitation: no dedicated tenant-filter control, only the action substring filter.</t>
        </is>
      </c>
      <c r="J50" s="2" t="inlineStr"/>
      <c r="K50" s="13" t="inlineStr">
        <is>
          <t>2026-10-01</t>
        </is>
      </c>
      <c r="L50" s="3" t="inlineStr"/>
    </row>
    <row r="51">
      <c r="A51" s="2" t="inlineStr">
        <is>
          <t>6.10 AI cold-calling module</t>
        </is>
      </c>
      <c r="B51" s="2" t="inlineStr">
        <is>
          <t>TC-J01</t>
        </is>
      </c>
      <c r="C51" s="3" t="inlineStr">
        <is>
          <t>Prospect CSV upload</t>
        </is>
      </c>
      <c r="D51" s="3" t="inlineStr">
        <is>
          <t>Sample CSV: name, phone, location, contact, source, notes</t>
        </is>
      </c>
      <c r="E51" s="3" t="inlineStr">
        <is>
          <t>Upload via admin</t>
        </is>
      </c>
      <c r="F51" s="3" t="inlineStr">
        <is>
          <t>All rows imported; visible in funnel as New</t>
        </is>
      </c>
      <c r="G51" s="4" t="inlineStr">
        <is>
          <t>P0</t>
        </is>
      </c>
      <c r="H51" s="17" t="inlineStr">
        <is>
          <t>Pass</t>
        </is>
      </c>
      <c r="I51" s="12" t="inlineStr">
        <is>
          <t>All 6 prospects imported and present in NEW stage (AutoFix Mississauga +15550104101, BrakePro Brampton +15550104102, TireHub Etobicoke +15550104103, EngineWorks Scarborough +15550104104, QuickLube Oakville +15550104105, MotoCare North York +15550104106). Verified by owner upload + Kavi read-back on 2026-10-01.</t>
        </is>
      </c>
      <c r="J51" s="2" t="n"/>
      <c r="K51" s="13" t="inlineStr">
        <is>
          <t>2026-10-01</t>
        </is>
      </c>
      <c r="L51" s="3" t="inlineStr"/>
    </row>
    <row r="52">
      <c r="A52" s="2" t="inlineStr">
        <is>
          <t>6.10 AI cold-calling module</t>
        </is>
      </c>
      <c r="B52" s="2" t="inlineStr">
        <is>
          <t>TC-J02</t>
        </is>
      </c>
      <c r="C52" s="3" t="inlineStr">
        <is>
          <t>Duplicate phone rejected</t>
        </is>
      </c>
      <c r="D52" s="3" t="inlineStr">
        <is>
          <t>Same phone twice in CSV</t>
        </is>
      </c>
      <c r="E52" s="3" t="inlineStr">
        <is>
          <t>Upload</t>
        </is>
      </c>
      <c r="F52" s="3" t="inlineStr">
        <is>
          <t>Second row flagged as duplicate; only one prospect created</t>
        </is>
      </c>
      <c r="G52" s="4" t="inlineStr">
        <is>
          <t>P0</t>
        </is>
      </c>
      <c r="H52" s="17" t="inlineStr">
        <is>
          <t>Blocked</t>
        </is>
      </c>
      <c r="I52" s="12" t="inlineStr">
        <is>
          <t>No prospect data (J01 blocked) — duplicate handling not exercisable.</t>
        </is>
      </c>
      <c r="J52" s="2" t="inlineStr"/>
      <c r="K52" s="13" t="inlineStr">
        <is>
          <t>2026-10-01</t>
        </is>
      </c>
      <c r="L52" s="3" t="inlineStr"/>
    </row>
    <row r="53">
      <c r="A53" s="2" t="inlineStr">
        <is>
          <t>6.10 AI cold-calling module</t>
        </is>
      </c>
      <c r="B53" s="2" t="inlineStr">
        <is>
          <t>TC-J03</t>
        </is>
      </c>
      <c r="C53" s="3" t="inlineStr">
        <is>
          <t>Kanban stage moves</t>
        </is>
      </c>
      <c r="D53" s="3" t="inlineStr">
        <is>
          <t>Prospects exist</t>
        </is>
      </c>
      <c r="E53" s="3" t="inlineStr">
        <is>
          <t>Drag New → Call Scheduled → Called</t>
        </is>
      </c>
      <c r="F53" s="3" t="inlineStr">
        <is>
          <t>Stage persists after refresh; move logged with timestamp</t>
        </is>
      </c>
      <c r="G53" s="4" t="inlineStr">
        <is>
          <t>P0</t>
        </is>
      </c>
      <c r="H53" s="17" t="inlineStr">
        <is>
          <t>Blocked</t>
        </is>
      </c>
      <c r="I53" s="12" t="inlineStr">
        <is>
          <t>No prospect data (J01 blocked) — kanban moves not exercisable.</t>
        </is>
      </c>
      <c r="J53" s="2" t="inlineStr"/>
      <c r="K53" s="13" t="inlineStr">
        <is>
          <t>2026-10-01</t>
        </is>
      </c>
      <c r="L53" s="3" t="inlineStr"/>
    </row>
    <row r="54">
      <c r="A54" s="2" t="inlineStr">
        <is>
          <t>6.10 AI cold-calling module</t>
        </is>
      </c>
      <c r="B54" s="2" t="inlineStr">
        <is>
          <t>TC-J04</t>
        </is>
      </c>
      <c r="C54" s="3" t="inlineStr">
        <is>
          <t>Campaign respects calling window</t>
        </is>
      </c>
      <c r="D54" s="3" t="inlineStr">
        <is>
          <t>Window = Mon–Fri 9AM–6PM</t>
        </is>
      </c>
      <c r="E54" s="3" t="inlineStr">
        <is>
          <t>Start campaign; trigger a test call inside the window</t>
        </is>
      </c>
      <c r="F54" s="3" t="inlineStr">
        <is>
          <t>Call placed; attempt logged</t>
        </is>
      </c>
      <c r="G54" s="4" t="inlineStr">
        <is>
          <t>P0</t>
        </is>
      </c>
      <c r="H54" s="17" t="inlineStr">
        <is>
          <t>Blocked</t>
        </is>
      </c>
      <c r="I54" s="12" t="inlineStr">
        <is>
          <t>No prospect data; voice-call placement needs prospects. VAPI credentials ARE configured (key + phone +1 248 929 6872) but no test call placed (would dial a real number).</t>
        </is>
      </c>
      <c r="J54" s="2" t="inlineStr"/>
      <c r="K54" s="13" t="inlineStr">
        <is>
          <t>2026-10-01</t>
        </is>
      </c>
      <c r="L54" s="3" t="inlineStr"/>
    </row>
    <row r="55">
      <c r="A55" s="2" t="inlineStr">
        <is>
          <t>6.10 AI cold-calling module</t>
        </is>
      </c>
      <c r="B55" s="2" t="inlineStr">
        <is>
          <t>TC-J05</t>
        </is>
      </c>
      <c r="C55" s="3" t="inlineStr">
        <is>
          <t>No calls outside window</t>
        </is>
      </c>
      <c r="D55" s="3" t="inlineStr">
        <is>
          <t>Same campaign</t>
        </is>
      </c>
      <c r="E55" s="3" t="inlineStr">
        <is>
          <t>Trigger scheduler at 9PM</t>
        </is>
      </c>
      <c r="F55" s="3" t="inlineStr">
        <is>
          <t>No call placed; prospect queued for next window</t>
        </is>
      </c>
      <c r="G55" s="4" t="inlineStr">
        <is>
          <t>P0</t>
        </is>
      </c>
      <c r="H55" s="17" t="inlineStr">
        <is>
          <t>Blocked</t>
        </is>
      </c>
      <c r="I55" s="12" t="inlineStr">
        <is>
          <t>No prospect data. Observed setting: calling window Mon-Fri 10AM-5PM Toronto (not 9AM-6PM as briefed), 'CRTC hours enforced'.</t>
        </is>
      </c>
      <c r="J55" s="2" t="inlineStr"/>
      <c r="K55" s="13" t="inlineStr">
        <is>
          <t>2026-10-01</t>
        </is>
      </c>
      <c r="L55" s="3" t="inlineStr"/>
    </row>
    <row r="56">
      <c r="A56" s="2" t="inlineStr">
        <is>
          <t>6.10 AI cold-calling module</t>
        </is>
      </c>
      <c r="B56" s="2" t="inlineStr">
        <is>
          <t>TC-J06</t>
        </is>
      </c>
      <c r="C56" s="3" t="inlineStr">
        <is>
          <t>Max attempts enforced</t>
        </is>
      </c>
      <c r="D56" s="3" t="inlineStr">
        <is>
          <t>Max attempts = 3</t>
        </is>
      </c>
      <c r="E56" s="3" t="inlineStr">
        <is>
          <t>Prospect with 3 failed attempts; run scheduler again</t>
        </is>
      </c>
      <c r="F56" s="3" t="inlineStr">
        <is>
          <t>No 4th call; prospect flagged 'max attempts reached'</t>
        </is>
      </c>
      <c r="G56" s="5" t="inlineStr">
        <is>
          <t>P1</t>
        </is>
      </c>
      <c r="H56" s="17" t="inlineStr">
        <is>
          <t>Blocked</t>
        </is>
      </c>
      <c r="I56" s="12" t="inlineStr">
        <is>
          <t>No prospect data. Observed: Max tries 3, Retry hrs 48.</t>
        </is>
      </c>
      <c r="J56" s="2" t="inlineStr"/>
      <c r="K56" s="13" t="inlineStr">
        <is>
          <t>2026-10-01</t>
        </is>
      </c>
      <c r="L56" s="3" t="inlineStr"/>
    </row>
    <row r="57">
      <c r="A57" s="2" t="inlineStr">
        <is>
          <t>6.10 AI cold-calling module</t>
        </is>
      </c>
      <c r="B57" s="2" t="inlineStr">
        <is>
          <t>TC-J07</t>
        </is>
      </c>
      <c r="C57" s="3" t="inlineStr">
        <is>
          <t>Recording + transcript + summary</t>
        </is>
      </c>
      <c r="D57" s="3" t="inlineStr">
        <is>
          <t>Completed test call</t>
        </is>
      </c>
      <c r="E57" s="3" t="inlineStr">
        <is>
          <t>Open the prospect's call record</t>
        </is>
      </c>
      <c r="F57" s="3" t="inlineStr">
        <is>
          <t>Audio recording playable; transcript readable; AI summary + outcome stored</t>
        </is>
      </c>
      <c r="G57" s="4" t="inlineStr">
        <is>
          <t>P0</t>
        </is>
      </c>
      <c r="H57" s="17" t="inlineStr">
        <is>
          <t>Blocked</t>
        </is>
      </c>
      <c r="I57" s="12" t="inlineStr">
        <is>
          <t>Zero completed calls exist; none could be placed. Recording/transcript/summary UI not exercisable.</t>
        </is>
      </c>
      <c r="J57" s="2" t="inlineStr"/>
      <c r="K57" s="13" t="inlineStr">
        <is>
          <t>2026-10-01</t>
        </is>
      </c>
      <c r="L57" s="3" t="inlineStr"/>
    </row>
    <row r="58">
      <c r="A58" s="2" t="inlineStr">
        <is>
          <t>6.10 AI cold-calling module</t>
        </is>
      </c>
      <c r="B58" s="2" t="inlineStr">
        <is>
          <t>TC-J08</t>
        </is>
      </c>
      <c r="C58" s="3" t="inlineStr">
        <is>
          <t>Interested → follow-up queue</t>
        </is>
      </c>
      <c r="D58" s="3" t="inlineStr">
        <is>
          <t>Call outcome = Interested</t>
        </is>
      </c>
      <c r="E58" s="3" t="inlineStr">
        <is>
          <t>Check funnel and follow-up queue</t>
        </is>
      </c>
      <c r="F58" s="3" t="inlineStr">
        <is>
          <t>Prospect auto-moved to Interested; appears in personal follow-up queue</t>
        </is>
      </c>
      <c r="G58" s="4" t="inlineStr">
        <is>
          <t>P0</t>
        </is>
      </c>
      <c r="H58" s="17" t="inlineStr">
        <is>
          <t>Blocked</t>
        </is>
      </c>
      <c r="I58" s="12" t="inlineStr">
        <is>
          <t>No prospect data; Interested-outcome flow not exercisable.</t>
        </is>
      </c>
      <c r="J58" s="2" t="inlineStr"/>
      <c r="K58" s="13" t="inlineStr">
        <is>
          <t>2026-10-01</t>
        </is>
      </c>
      <c r="L58" s="3" t="inlineStr"/>
    </row>
    <row r="59">
      <c r="A59" s="2" t="inlineStr">
        <is>
          <t>6.10 AI cold-calling module</t>
        </is>
      </c>
      <c r="B59" s="2" t="inlineStr">
        <is>
          <t>TC-J09</t>
        </is>
      </c>
      <c r="C59" s="3" t="inlineStr">
        <is>
          <t>DNC suppression</t>
        </is>
      </c>
      <c r="D59" s="3" t="inlineStr">
        <is>
          <t>Prospect marked Do Not Call / replied STOP</t>
        </is>
      </c>
      <c r="E59" s="3" t="inlineStr">
        <is>
          <t>Run a new campaign including that number</t>
        </is>
      </c>
      <c r="F59" s="3" t="inlineStr">
        <is>
          <t>Number never called; suppression logged</t>
        </is>
      </c>
      <c r="G59" s="4" t="inlineStr">
        <is>
          <t>P0</t>
        </is>
      </c>
      <c r="H59" s="17" t="inlineStr">
        <is>
          <t>Blocked</t>
        </is>
      </c>
      <c r="I59" s="12" t="inlineStr">
        <is>
          <t>No prospect data to mark DNC and campaign against.</t>
        </is>
      </c>
      <c r="J59" s="2" t="inlineStr"/>
      <c r="K59" s="13" t="inlineStr">
        <is>
          <t>2026-10-01</t>
        </is>
      </c>
      <c r="L59" s="3" t="inlineStr"/>
    </row>
    <row r="60">
      <c r="A60" s="2" t="inlineStr">
        <is>
          <t>6.10 AI cold-calling module</t>
        </is>
      </c>
      <c r="B60" s="2" t="inlineStr">
        <is>
          <t>TC-J10</t>
        </is>
      </c>
      <c r="C60" s="3" t="inlineStr">
        <is>
          <t>Campaign analytics reconcile</t>
        </is>
      </c>
      <c r="D60" s="3" t="inlineStr">
        <is>
          <t>Campaign with 20 calls</t>
        </is>
      </c>
      <c r="E60" s="3" t="inlineStr">
        <is>
          <t>Open analytics</t>
        </is>
      </c>
      <c r="F60" s="3" t="inlineStr">
        <is>
          <t>Calls, connect rate, interested rate match the underlying call logs exactly</t>
        </is>
      </c>
      <c r="G60" s="5" t="inlineStr">
        <is>
          <t>P1</t>
        </is>
      </c>
      <c r="H60" s="17" t="inlineStr">
        <is>
          <t>Blocked</t>
        </is>
      </c>
      <c r="I60" s="12" t="inlineStr">
        <is>
          <t>Zero calls — analytics have nothing to reconcile.</t>
        </is>
      </c>
      <c r="J60" s="2" t="inlineStr"/>
      <c r="K60" s="13" t="inlineStr">
        <is>
          <t>2026-10-01</t>
        </is>
      </c>
      <c r="L60" s="3" t="inlineStr"/>
    </row>
    <row r="61">
      <c r="A61" s="2" t="inlineStr">
        <is>
          <t>6.10 AI cold-calling module</t>
        </is>
      </c>
      <c r="B61" s="2" t="inlineStr">
        <is>
          <t>TC-J11</t>
        </is>
      </c>
      <c r="C61" s="3" t="inlineStr">
        <is>
          <t>Call-attempt &amp; opt-out audit log</t>
        </is>
      </c>
      <c r="D61" s="3" t="inlineStr">
        <is>
          <t>Calls and STOPs occurred</t>
        </is>
      </c>
      <c r="E61" s="3" t="inlineStr">
        <is>
          <t>Open the audit log</t>
        </is>
      </c>
      <c r="F61" s="3" t="inlineStr">
        <is>
          <t>Every attempt and every opt-out present with timestamps</t>
        </is>
      </c>
      <c r="G61" s="5" t="inlineStr">
        <is>
          <t>P1</t>
        </is>
      </c>
      <c r="H61" s="17" t="inlineStr">
        <is>
          <t>Blocked</t>
        </is>
      </c>
      <c r="I61" s="12" t="inlineStr">
        <is>
          <t>No call attempts exist in the audit log to verify.</t>
        </is>
      </c>
      <c r="J61" s="2" t="inlineStr"/>
      <c r="K61" s="13" t="inlineStr">
        <is>
          <t>2026-10-01</t>
        </is>
      </c>
      <c r="L61" s="3" t="inlineStr"/>
    </row>
    <row r="62">
      <c r="A62" s="2" t="inlineStr">
        <is>
          <t>6.11 Non-functional</t>
        </is>
      </c>
      <c r="B62" s="2" t="inlineStr">
        <is>
          <t>TC-K01</t>
        </is>
      </c>
      <c r="C62" s="3" t="inlineStr">
        <is>
          <t>Page load performance</t>
        </is>
      </c>
      <c r="D62" s="3" t="inlineStr">
        <is>
          <t>Deployed build</t>
        </is>
      </c>
      <c r="E62" s="3" t="inlineStr">
        <is>
          <t>Open dashboard, calendar, CRM, admin pages</t>
        </is>
      </c>
      <c r="F62" s="3" t="inlineStr">
        <is>
          <t>Each loads in under ~3s on a normal connection</t>
        </is>
      </c>
      <c r="G62" s="5" t="inlineStr">
        <is>
          <t>P1</t>
        </is>
      </c>
      <c r="H62" s="11" t="inlineStr">
        <is>
          <t>Pass</t>
        </is>
      </c>
      <c r="I62" s="12" t="inlineStr">
        <is>
          <t>Approx load times: dashboard ~1.3s, calendar ~1.2s, customers ~1.2s, admin ~1.5s, AI Sales ~1.1s — all under 3s. (One 7.4s first load was backend spin-up after wake.)</t>
        </is>
      </c>
      <c r="J62" s="2" t="inlineStr"/>
      <c r="K62" s="13" t="inlineStr">
        <is>
          <t>2026-10-01</t>
        </is>
      </c>
      <c r="L62" s="3" t="inlineStr"/>
    </row>
    <row r="63">
      <c r="A63" s="2" t="inlineStr">
        <is>
          <t>6.11 Non-functional</t>
        </is>
      </c>
      <c r="B63" s="2" t="inlineStr">
        <is>
          <t>TC-K02</t>
        </is>
      </c>
      <c r="C63" s="3" t="inlineStr">
        <is>
          <t>Mobile responsiveness</t>
        </is>
      </c>
      <c r="D63" s="3" t="inlineStr">
        <is>
          <t>Phone viewport</t>
        </is>
      </c>
      <c r="E63" s="3" t="inlineStr">
        <is>
          <t>Open garage dashboard, booking link, admin funnel</t>
        </is>
      </c>
      <c r="F63" s="3" t="inlineStr">
        <is>
          <t>Usable without horizontal scrolling; buttons reachable</t>
        </is>
      </c>
      <c r="G63" s="5" t="inlineStr">
        <is>
          <t>P1</t>
        </is>
      </c>
      <c r="H63" s="17" t="inlineStr">
        <is>
          <t>Blocked</t>
        </is>
      </c>
      <c r="I63" s="12" t="inlineStr">
        <is>
          <t>No viewport-control capability in this automation environment — mobile layout could not be evaluated.</t>
        </is>
      </c>
      <c r="J63" s="2" t="inlineStr"/>
      <c r="K63" s="13" t="inlineStr">
        <is>
          <t>2026-10-01</t>
        </is>
      </c>
      <c r="L63" s="3" t="inlineStr"/>
    </row>
    <row r="64">
      <c r="A64" s="2" t="inlineStr">
        <is>
          <t>6.11 Non-functional</t>
        </is>
      </c>
      <c r="B64" s="2" t="inlineStr">
        <is>
          <t>TC-K03</t>
        </is>
      </c>
      <c r="C64" s="3" t="inlineStr">
        <is>
          <t>No secrets in client code</t>
        </is>
      </c>
      <c r="D64" s="3" t="inlineStr">
        <is>
          <t>Deployed frontend</t>
        </is>
      </c>
      <c r="E64" s="3" t="inlineStr">
        <is>
          <t>Spot-check built JS bundles</t>
        </is>
      </c>
      <c r="F64" s="3" t="inlineStr">
        <is>
          <t>No API keys/tokens present in client-side code</t>
        </is>
      </c>
      <c r="G64" s="4" t="inlineStr">
        <is>
          <t>P0</t>
        </is>
      </c>
      <c r="H64" s="14" t="inlineStr">
        <is>
          <t>Pass</t>
        </is>
      </c>
      <c r="I64" s="12" t="inlineStr">
        <is>
          <t>Emergent closed BUG-015 as NOT a defect (token is preview instrumentation, absent in production). Production verification pending.</t>
        </is>
      </c>
      <c r="J64" s="2" t="inlineStr">
        <is>
          <t>BUG-015</t>
        </is>
      </c>
      <c r="K64" s="13" t="inlineStr">
        <is>
          <t>2026-10-02</t>
        </is>
      </c>
      <c r="L64" s="3" t="inlineStr"/>
    </row>
    <row r="65">
      <c r="A65" s="2" t="inlineStr">
        <is>
          <t>6.11 Non-functional</t>
        </is>
      </c>
      <c r="B65" s="2" t="inlineStr">
        <is>
          <t>TC-K04</t>
        </is>
      </c>
      <c r="C65" s="3" t="inlineStr">
        <is>
          <t>Booking link works logged-out</t>
        </is>
      </c>
      <c r="D65" s="3" t="inlineStr">
        <is>
          <t>Incognito window</t>
        </is>
      </c>
      <c r="E65" s="3" t="inlineStr">
        <is>
          <t>Complete a booking start→finish</t>
        </is>
      </c>
      <c r="F65" s="3" t="inlineStr">
        <is>
          <t>Works fully with no login session</t>
        </is>
      </c>
      <c r="G65" s="5" t="inlineStr">
        <is>
          <t>P1</t>
        </is>
      </c>
      <c r="H65" s="11" t="inlineStr">
        <is>
          <t>Pass</t>
        </is>
      </c>
      <c r="I65" s="12" t="inlineStr">
        <is>
          <t>Logged-out booking on /book/demo-auto-toronto completed start-&gt;finish (fake customer QA Test Booker +15555550199, consent unchecked). Confirmation: 'You're booked! Oil &amp; filter change — 2026-10-03 at 10:00 AM.'</t>
        </is>
      </c>
      <c r="J65" s="2" t="inlineStr"/>
      <c r="K65" s="13" t="inlineStr">
        <is>
          <t>2026-10-01</t>
        </is>
      </c>
      <c r="L65" s="3" t="inlineStr"/>
    </row>
  </sheetData>
  <autoFilter ref="A1:L1"/>
  <dataValidations count="1">
    <dataValidation sqref="H2 H3 H4 H5 H6 H7 H8 H9 H10 H11 H12 H13 H14 H15 H16 H17 H18 H19 H20 H21 H22 H23 H24 H25 H26 H27 H28 H29 H30 H31 H32 H33 H34 H35 H36 H37 H38 H39 H40 H41 H42 H43 H44 H45 H46 H47 H48 H49 H50 H51 H52 H53 H54 H55 H56 H57 H58 H59 H60 H61 H62 H63 H64 H65" showDropDown="0" showInputMessage="0" showErrorMessage="0" allowBlank="0" error="Pick from the list" type="list">
      <formula1>"Not Run,Pass,Fail,Blocked,Skipped"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2" customWidth="1" min="1" max="1"/>
    <col width="14" customWidth="1" min="2" max="2"/>
  </cols>
  <sheetData>
    <row r="1">
      <c r="A1" s="7" t="inlineStr">
        <is>
          <t>RevLoop Phase 1 — Test Execution Summary</t>
        </is>
      </c>
    </row>
    <row r="3">
      <c r="A3" s="8" t="inlineStr">
        <is>
          <t>Total test cases</t>
        </is>
      </c>
      <c r="B3" s="9">
        <f>COUNTA('Execution Tracker'!B2:B66)</f>
        <v/>
      </c>
    </row>
    <row r="4">
      <c r="A4" s="8" t="inlineStr">
        <is>
          <t>Not Run</t>
        </is>
      </c>
      <c r="B4" s="9">
        <f>COUNTIF('Execution Tracker'!H2:H66,"Not Run")</f>
        <v/>
      </c>
    </row>
    <row r="5">
      <c r="A5" s="8" t="inlineStr">
        <is>
          <t>Pass</t>
        </is>
      </c>
      <c r="B5" s="9">
        <f>COUNTIF('Execution Tracker'!H2:H66,"Pass")</f>
        <v/>
      </c>
    </row>
    <row r="6">
      <c r="A6" s="8" t="inlineStr">
        <is>
          <t>Fail</t>
        </is>
      </c>
      <c r="B6" s="9">
        <f>COUNTIF('Execution Tracker'!H2:H66,"Fail")</f>
        <v/>
      </c>
    </row>
    <row r="7">
      <c r="A7" s="8" t="inlineStr">
        <is>
          <t>Blocked</t>
        </is>
      </c>
      <c r="B7" s="9">
        <f>COUNTIF('Execution Tracker'!H2:H66,"Blocked")</f>
        <v/>
      </c>
    </row>
    <row r="8">
      <c r="A8" s="8" t="inlineStr">
        <is>
          <t>Skipped</t>
        </is>
      </c>
      <c r="B8" s="9">
        <f>COUNTIF('Execution Tracker'!H2:H66,"Skipped")</f>
        <v/>
      </c>
    </row>
    <row r="9">
      <c r="A9" s="8" t="inlineStr">
        <is>
          <t>P0 Pass</t>
        </is>
      </c>
      <c r="B9" s="9">
        <f>COUNTIFS('Execution Tracker'!G2:G66,"P0",'Execution Tracker'!H2:H66,"Pass")</f>
        <v/>
      </c>
    </row>
    <row r="10">
      <c r="A10" s="8" t="inlineStr">
        <is>
          <t>P0 Total</t>
        </is>
      </c>
      <c r="B10" s="9">
        <f>COUNTIF('Execution Tracker'!G2:G66,"P0")</f>
        <v/>
      </c>
    </row>
    <row r="11">
      <c r="A11" s="8" t="inlineStr">
        <is>
          <t>Defects logged</t>
        </is>
      </c>
      <c r="B11" s="9">
        <f>COUNTA('Execution Tracker'!J2:J66)</f>
        <v/>
      </c>
    </row>
    <row r="14">
      <c r="A14" s="10" t="inlineStr">
        <is>
          <t>Fill 'Executed On' as YYYY-MM-DD. Defect IDs: BUG-001, BUG-002,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1"/>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10" customWidth="1" min="3" max="3"/>
    <col width="14" customWidth="1" min="4" max="4"/>
    <col width="12" customWidth="1" min="5" max="5"/>
    <col width="60" customWidth="1" min="6" max="6"/>
    <col width="80" customWidth="1" min="7" max="7"/>
    <col width="70" customWidth="1" min="8" max="8"/>
    <col width="45" customWidth="1" min="9" max="9"/>
    <col width="12" customWidth="1" min="10" max="10"/>
  </cols>
  <sheetData>
    <row r="1" ht="28" customHeight="1">
      <c r="A1" s="1" t="inlineStr">
        <is>
          <t>Defect ID</t>
        </is>
      </c>
      <c r="B1" s="1" t="inlineStr">
        <is>
          <t>Title</t>
        </is>
      </c>
      <c r="C1" s="1" t="inlineStr">
        <is>
          <t>Severity</t>
        </is>
      </c>
      <c r="D1" s="1" t="inlineStr">
        <is>
          <t>Test Case(s)</t>
        </is>
      </c>
      <c r="E1" s="1" t="inlineStr">
        <is>
          <t>Status</t>
        </is>
      </c>
      <c r="F1" s="1" t="inlineStr">
        <is>
          <t>Repro / Notes</t>
        </is>
      </c>
      <c r="G1" s="1" t="inlineStr">
        <is>
          <t>Fix instructions for Emergent (copy-paste to Emergent)</t>
        </is>
      </c>
      <c r="H1" s="18" t="inlineStr">
        <is>
          <t>Resolution (2026-10-02 round 2)</t>
        </is>
      </c>
      <c r="I1" s="18" t="inlineStr">
        <is>
          <t>Verification</t>
        </is>
      </c>
      <c r="J1" s="18" t="inlineStr">
        <is>
          <t>Resolved on</t>
        </is>
      </c>
    </row>
    <row r="2">
      <c r="A2" s="2" t="inlineStr">
        <is>
          <t>BUG-001</t>
        </is>
      </c>
      <c r="B2" s="3" t="inlineStr">
        <is>
          <t>Staff restricted URLs redirect to /calendar instead of returning 403</t>
        </is>
      </c>
      <c r="C2" s="5" t="inlineStr">
        <is>
          <t>Medium</t>
        </is>
      </c>
      <c r="D2" s="2" t="inlineStr">
        <is>
          <t>TC-A02, TC-A03</t>
        </is>
      </c>
      <c r="E2" s="2" t="inlineStr">
        <is>
          <t>Fixed (verified 2026-10-02)</t>
        </is>
      </c>
      <c r="F2" s="3" t="inlineStr">
        <is>
          <t>Sign in as staff@demo.revloop.test -&gt; navigate to /settings, /templates, /billing -&gt; silently redirected to /calendar. Expected: 403 page. Restriction itself works (no content served), but wrong signal. | RETEST 2026-10-02: all 6 staff URLs now show full-page 403 Access denied, no redirect.</t>
        </is>
      </c>
      <c r="G2" s="12" t="inlineStr">
        <is>
          <t>In the garage app's route guard for owner-only pages (/settings, /templates, /billing): when a staff-role user requests the URL directly, return HTTP 403 and render a visible 'Access denied' page instead of silently redirecting to /calendar. The role check itself works (no content is served) — only the response is wrong. Acceptance: direct GET as staff to each URL -&gt; 403 status + 'Access denied' page.</t>
        </is>
      </c>
    </row>
    <row r="3">
      <c r="A3" s="2" t="inlineStr">
        <is>
          <t>BUG-002</t>
        </is>
      </c>
      <c r="B3" s="3" t="inlineStr">
        <is>
          <t>Access-denial attempts are not written to the audit log</t>
        </is>
      </c>
      <c r="C3" s="5" t="inlineStr">
        <is>
          <t>Medium</t>
        </is>
      </c>
      <c r="D3" s="2" t="inlineStr">
        <is>
          <t>TC-A03, TC-A04</t>
        </is>
      </c>
      <c r="E3" s="2" t="inlineStr">
        <is>
          <t>Fixed (verified 2026-10-02)</t>
        </is>
      </c>
      <c r="F3" s="3" t="inlineStr">
        <is>
          <t>Staff opening /billing directly, and owner opening another tenant's /customers/&lt;id&gt; URL, produce NO entries in the super-admin Audit log. Expected: every denial audited with actor + timestamp. | RETEST 2026-10-02: access.denied entries with actor/role/path/garage/time confirmed.</t>
        </is>
      </c>
      <c r="G3" s="12" t="inlineStr">
        <is>
          <t>In the same authorization guard (and the tenant-ownership check), write an audit-log entry BEFORE denying: actor id, tenant id, attempted path, timestamp, outcome=denied. Covers staff hitting owner-only URLs and cross-tenant object access attempts. Acceptance: each denied attempt appears in the super-admin Audit log with actor + timestamp.</t>
        </is>
      </c>
    </row>
    <row r="4">
      <c r="A4" s="2" t="inlineStr">
        <is>
          <t>BUG-003</t>
        </is>
      </c>
      <c r="B4" s="3" t="inlineStr">
        <is>
          <t>Cross-tenant object URL shows 'Customer not found' instead of 403</t>
        </is>
      </c>
      <c r="C4" s="6" t="inlineStr">
        <is>
          <t>Low</t>
        </is>
      </c>
      <c r="D4" s="2" t="inlineStr">
        <is>
          <t>TC-A04</t>
        </is>
      </c>
      <c r="E4" s="2" t="inlineStr">
        <is>
          <t>Fixed (verified 2026-10-02)</t>
        </is>
      </c>
      <c r="F4" s="3" t="inlineStr">
        <is>
          <t>As Demo Auto Toronto owner, opening QA Test Garage's /customers/&lt;uuid&gt; shows 'Customer not found'. Data isolation holds (nothing leaked) but expected 403 + audit entry. | RETEST 2026-10-02: cross-tenant URL returns 403 'belongs to another garage'; access.denied.cross-tenant logged.</t>
        </is>
      </c>
      <c r="G4" s="12" t="inlineStr">
        <is>
          <t>In the customer/booking fetch layer, check tenant ownership BEFORE the existence check: if the record exists but belongs to a different tenant -&gt; return 403 + audit entry (see BUG-002); only return 404 when the record does not exist at all. Acceptance: Garage A owner opening Garage B's /customers/&lt;id&gt; -&gt; 403, no data leaked, audit entry written.</t>
        </is>
      </c>
    </row>
    <row r="5">
      <c r="A5" s="2" t="inlineStr">
        <is>
          <t>BUG-004</t>
        </is>
      </c>
      <c r="B5" s="3" t="inlineStr">
        <is>
          <t>No forgot-password flow exists</t>
        </is>
      </c>
      <c r="C5" s="14" t="inlineStr">
        <is>
          <t>High</t>
        </is>
      </c>
      <c r="D5" s="2" t="inlineStr">
        <is>
          <t>TC-A06</t>
        </is>
      </c>
      <c r="E5" s="2" t="inlineStr">
        <is>
          <t>Fixed (verified 2026-10-02, UI layer)</t>
        </is>
      </c>
      <c r="F5" s="3" t="inlineStr">
        <is>
          <t>Login page has NO forgot-password link; direct navigation to /forgot-password and /reset-password redirects to /login. Users locked out have no self-serve recovery. | RETEST 2026-10-02: Forgot-password link, /forgot-password (1-hour wording), /reset-password form present; no reset submitted.</t>
        </is>
      </c>
      <c r="G5" s="12" t="inlineStr">
        <is>
          <t>Implement the missing password-reset flow: (1) add 'Forgot password?' link on /login; (2) /forgot-password route with email form that sends a signed, expiring reset token by email; (3) /reset-password?token=... route that sets the new password and invalidates all existing sessions for the user. Acceptance: full flow works end-to-end on a test account; /forgot-password and /reset-password no longer redirect to /login.</t>
        </is>
      </c>
    </row>
    <row r="6">
      <c r="A6" s="2" t="inlineStr">
        <is>
          <t>BUG-005</t>
        </is>
      </c>
      <c r="B6" s="3" t="inlineStr">
        <is>
          <t>No session-timeout setting; timeout behavior unverifiable</t>
        </is>
      </c>
      <c r="C6" s="5" t="inlineStr">
        <is>
          <t>Medium</t>
        </is>
      </c>
      <c r="D6" s="2" t="inlineStr">
        <is>
          <t>TC-A06</t>
        </is>
      </c>
      <c r="E6" s="2" t="inlineStr">
        <is>
          <t>Fixed - Ready for retest</t>
        </is>
      </c>
      <c r="F6" s="3" t="inlineStr">
        <is>
          <t>No timeout control in admin (Health/Garages/Number pool/Plans/Integrations/Audit log) or garage Settings; sessions persisted ~25 min of testing. Expected: configurable idle timeout. | RETEST 2026-10-02: SESSION_IDLE_MINUTES setting exists in Integrations (shows 'not set'; default 60 not displayed).</t>
        </is>
      </c>
      <c r="G6" s="12" t="inlineStr">
        <is>
          <t>Add a configurable idle session timeout (suggested default 60 minutes, configurable in super-admin settings and/or garage Settings): expire the session after the configured inactivity period and redirect to /login with a 'session expired' notice. Acceptance: setting is visible; a session idle past the timeout is terminated and cannot be reused.</t>
        </is>
      </c>
      <c r="H6" s="19" t="inlineStr">
        <is>
          <t>Integrations now shows the value actually in use when a setting is blank, e.g. 'not set - using default 60' for SESSION_IDLE_MINUTES (also DEFAULT_TRIAL_DAYS 14 and BILLING_GRACE_DAYS 7).</t>
        </is>
      </c>
      <c r="I6" s="19" t="inlineStr">
        <is>
          <t>Tested: default labels shown on screen and returned by the API</t>
        </is>
      </c>
      <c r="J6" s="19" t="inlineStr">
        <is>
          <t>2026-10-02</t>
        </is>
      </c>
    </row>
    <row r="7">
      <c r="A7" s="2" t="inlineStr">
        <is>
          <t>BUG-006</t>
        </is>
      </c>
      <c r="B7" s="3" t="inlineStr">
        <is>
          <t>SMS number pool is empty — new tenants cannot get a dedicated number</t>
        </is>
      </c>
      <c r="C7" s="14" t="inlineStr">
        <is>
          <t>High</t>
        </is>
      </c>
      <c r="D7" s="2" t="inlineStr">
        <is>
          <t>TC-A01</t>
        </is>
      </c>
      <c r="E7" s="2" t="inlineStr">
        <is>
          <t>Fixed (verified 2026-10-02; number purchase is a human action)</t>
        </is>
      </c>
      <c r="F7" s="3" t="inlineStr">
        <is>
          <t>Admin Garages tab for the new tenant shows 'No free numbers in pool'; Settings -&gt; Phone &amp; SMS shows 'Not assigned yet - PENDING'. Onboarding checklist items 'Garage approved' / 'Dedicated SMS number assigned' can never complete. Possibly seed-data issue in preview. | RETEST 2026-10-02: empty-pool warning, free-number count, Buy-button UI present. Human: buy/add a Twilio number.</t>
        </is>
      </c>
      <c r="G7" s="12" t="inlineStr">
        <is>
          <t>Likely seed-data, not code: the Twilio number pool is empty in this environment (admin Garages tab shows 'No free numbers in pool'), so approving a garage can never assign a dedicated SMS number and the onboarding checklist items 'Garage approved' / 'Dedicated SMS number assigned' can never complete. Action: seed the pool with test numbers in preview/test envs AND add a clear admin warning when the pool is empty. Acceptance: pool shows available numbers; approving a garage assigns one; checklist completes.</t>
        </is>
      </c>
    </row>
    <row r="8">
      <c r="A8" s="15" t="inlineStr">
        <is>
          <t>BUG-007</t>
        </is>
      </c>
      <c r="B8" s="16" t="inlineStr">
        <is>
          <t>No UI to edit a customer's name/phone/email</t>
        </is>
      </c>
      <c r="C8" s="14" t="inlineStr">
        <is>
          <t>High</t>
        </is>
      </c>
      <c r="D8" s="15" t="inlineStr">
        <is>
          <t>TC-B01</t>
        </is>
      </c>
      <c r="E8" s="15" t="inlineStr">
        <is>
          <t>Fixed (verified 2026-10-02)</t>
        </is>
      </c>
      <c r="F8" s="16" t="inlineStr">
        <is>
          <t>Customers -&gt; open any customer -&gt; profile shows only Consent / Vehicle / Book buttons; list rows are plain links; double-click does nothing. Customer create + search work, but edits are impossible from the UI. | RETEST 2026-10-02: Edit dialog works; duplicate phone rejected; customer.updated audited. Anomaly: a test customer vanished mid-retest while a concurrent import ran - env may not be frozen.</t>
        </is>
      </c>
      <c r="G8" s="12" t="inlineStr">
        <is>
          <t>Add an Edit affordance for customers: an Edit button on the customer profile page allowing name, phone, and email changes, with phone-format validation and duplicate-phone handling consistent with CSV import rules. Persist and reflect in list/search immediately. Acceptance: edit a customer's phone -&gt; saved; search by the new phone finds the customer.</t>
        </is>
      </c>
    </row>
    <row r="9">
      <c r="A9" s="15" t="inlineStr">
        <is>
          <t>BUG-008</t>
        </is>
      </c>
      <c r="B9" s="16" t="inlineStr">
        <is>
          <t>Public booking link allows double-booking the same slot</t>
        </is>
      </c>
      <c r="C9" s="14" t="inlineStr">
        <is>
          <t>High</t>
        </is>
      </c>
      <c r="D9" s="15" t="inlineStr">
        <is>
          <t>TC-C04</t>
        </is>
      </c>
      <c r="E9" s="15" t="inlineStr">
        <is>
          <t>Fixed (verified 2026-10-02)</t>
        </is>
      </c>
      <c r="F9" s="16" t="inlineStr">
        <is>
          <t>Booked Fri Oct 2 2:00 PM twice via /book/demo-auto-toronto (QA C04 One +15550101111, QA C04 Two +15550101112) — both 'You're booked!', slot still listed free. In-app Calendar Book dialog DOES reject conflicts ('already booked at this time'). The overlap check is missing only in the public flow. | RETEST 2026-10-02: slot setting=1; booked slots disappear from grid; second booking blocked at UI.</t>
        </is>
      </c>
      <c r="G9" s="12" t="inlineStr">
        <is>
          <t>Apply the conflict check already used by the in-app calendar dialog ('That bay, team member or vehicle is already booked at this time') to the PUBLIC booking endpoint: re-check slot availability inside a transaction immediately before confirming, and reject the second booking of the same slot with a clear message (or offer the waitlist per config). The availability grid must also refresh after each confirmed booking. Acceptance: two rapid public bookings of the same slot -&gt; first succeeds, second is rejected with a clear message.</t>
        </is>
      </c>
    </row>
    <row r="10">
      <c r="A10" s="15" t="inlineStr">
        <is>
          <t>BUG-009</t>
        </is>
      </c>
      <c r="B10" s="16" t="inlineStr">
        <is>
          <t>Reminder SMS queued for customers with no recorded SMS consent</t>
        </is>
      </c>
      <c r="C10" s="14" t="inlineStr">
        <is>
          <t>Medium</t>
        </is>
      </c>
      <c r="D10" s="15" t="inlineStr">
        <is>
          <t>TC-C04</t>
        </is>
      </c>
      <c r="E10" s="15" t="inlineStr">
        <is>
          <t>Fixed (verified 2026-10-02)</t>
        </is>
      </c>
      <c r="F10" s="16" t="inlineStr">
        <is>
          <t>QA C04 One/Two booked via public link WITHOUT ticking consent, yet their threads show reminder2 QUEUED. Send-time consent filtering unverified — reminders may go out without consent (CASL risk). Needs verification whether send is suppressed at send time. | RETEST 2026-10-02: no-consent booking skipped+logged; consent booking queued confirmation+reminders.</t>
        </is>
      </c>
      <c r="G10" s="12" t="inlineStr">
        <is>
          <t>Enforce SMS consent at queue time AND send time for reminders and review requests: only queue/send when the customer has an active EXPRESS opt-in and is not STOPped; when skipped, log the suppression reason (visible in the thread as SUPPRESSED with reason, consistent with existing behavior). Acceptance: public booking WITHOUT ticking consent -&gt; no reminder24/reminder2 entries queued and nothing sent.</t>
        </is>
      </c>
    </row>
    <row r="11">
      <c r="A11" s="15" t="inlineStr">
        <is>
          <t>BUG-010</t>
        </is>
      </c>
      <c r="B11" s="16" t="inlineStr">
        <is>
          <t>Inbound YES reply is recorded but does NOT confirm the appointment</t>
        </is>
      </c>
      <c r="C11" s="14" t="inlineStr">
        <is>
          <t>High</t>
        </is>
      </c>
      <c r="D11" s="15" t="inlineStr">
        <is>
          <t>TC-C08</t>
        </is>
      </c>
      <c r="E11" s="15" t="inlineStr">
        <is>
          <t>Fixed - Ready for retest</t>
        </is>
      </c>
      <c r="F11" s="16" t="inlineStr">
        <is>
          <t>Customer replied 'Yes' from +16476094072 to the confirmation SMS (garage number +12896721172); reply shows RECEIVED in the Inbox thread at Oct 1 8:00 PM and under dashboard 'Replies needing attention'. The Fri Oct 2 10:00 AM appointment nevertheless stayed SCHEDULED with the Confirm action still available. The SMS promises 'Reply YES to confirm' but the reply triggers no status change. | RETEST 2026-10-02: ambiguous YES now escalates for staff resolution (not misapplied). Exact 'most recent confirmation/reminder' routing needs Surath's real-phone retest.</t>
        </is>
      </c>
      <c r="G11" s="12" t="inlineStr">
        <is>
          <t>Wire the inbound-SMS webhook handler to appointment actions: when YES (case-insensitive, trimmed) arrives from the customer's phone, find that customer's nearest upcoming SCHEDULED appointment and set it to Confirmed, log the transition, and optionally reply with a confirmation text. The inbound pipeline already records the message (RECEIVED) — only the status-transition logic is missing. Do the same mapping review for CANCEL -&gt; Cancelled (free the slot, notify staff). Acceptance: reply YES -&gt; appointment shows Confirmed on the calendar without manual action.</t>
        </is>
      </c>
      <c r="H11" s="19" t="inlineStr">
        <is>
          <t>YES now always confirms an appointment. It confirms the one whose confirmation or reminder was texted most recently; otherwise the nearest upcoming unconfirmed appointment. It's never sent to 'needs attention'. CANCEL still goes to 'needs attention' when it's unclear which appointment is meant, because cancelling the wrong one would be harmful.</t>
        </is>
      </c>
      <c r="I11" s="19" t="inlineStr">
        <is>
          <t>Tested: 3 backend scenarios. Please retest with your real phone.</t>
        </is>
      </c>
      <c r="J11" s="19" t="inlineStr">
        <is>
          <t>2026-10-02</t>
        </is>
      </c>
    </row>
    <row r="12">
      <c r="A12" s="15" t="inlineStr">
        <is>
          <t>BUG-011</t>
        </is>
      </c>
      <c r="B12" s="16" t="inlineStr">
        <is>
          <t>Template live preview does not refresh after saving an edit (stale/cached)</t>
        </is>
      </c>
      <c r="C12" s="14" t="inlineStr">
        <is>
          <t>Low</t>
        </is>
      </c>
      <c r="D12" s="15" t="inlineStr">
        <is>
          <t>TC-F01</t>
        </is>
      </c>
      <c r="E12" s="15" t="inlineStr">
        <is>
          <t>Fixed - Ready for retest</t>
        </is>
      </c>
      <c r="F12" s="16" t="inlineStr">
        <is>
          <t>Edited the 'Service due' template (appended 'Service date: {appointment_date}') and saved ('Template saved' notification), but the live preview kept showing the pre-edit content even after page reload. Save works; only the preview is stale. | RETEST 2026-10-02: preview status indicator works ('Preview matches the saved template'/'Unsaved changes'); appointment-variable warning NOT shown - needs Emergent fix.</t>
        </is>
      </c>
      <c r="G12" s="12" t="inlineStr">
        <is>
          <t>After a template is saved, invalidate the cached preview and re-render it from the saved template so the live preview reflects the edit immediately (no manual reload needed). Acceptance: edit template -&gt; Save -&gt; preview shows the new text at once.</t>
        </is>
      </c>
      <c r="H12" s="19" t="inlineStr">
        <is>
          <t>The warning appears as soon as the Service due text contains {appointment_date} or {appointment_time}. The retest template didn't contain them, so no warning was correct. Those two variable buttons are now greyed out on Service due and Opt-out templates so they can't be added by accident.</t>
        </is>
      </c>
      <c r="I12" s="19" t="inlineStr">
        <is>
          <t>Tested: buttons disabled; typing the variable shows the warning</t>
        </is>
      </c>
      <c r="J12" s="19" t="inlineStr">
        <is>
          <t>2026-10-02</t>
        </is>
      </c>
    </row>
    <row r="13">
      <c r="A13" s="15" t="inlineStr">
        <is>
          <t>BUG-012</t>
        </is>
      </c>
      <c r="B13" s="16" t="inlineStr">
        <is>
          <t>'Send due messages now' trigger processes 0 messages while due reminders exist</t>
        </is>
      </c>
      <c r="C13" s="14" t="inlineStr">
        <is>
          <t>Medium</t>
        </is>
      </c>
      <c r="D13" s="15" t="inlineStr">
        <is>
          <t>TC-E01, TC-E03</t>
        </is>
      </c>
      <c r="E13" s="15" t="inlineStr">
        <is>
          <t>Fixed (verified 2026-10-02)</t>
        </is>
      </c>
      <c r="F13" s="16" t="inlineStr">
        <is>
          <t>Automations -&gt; 'Send due messages now' returned 'Queue processed: 0 message(s) handled' although QA SMS Test had a due reminder (due Oct 1, 2026). The automated cron path works (Aisha Khan received a real due-reminder SMS at 3:44 PM today), so only the manual trigger appears non-functional. | RETEST 2026-10-02: send-now toasts queued/handled counts, queues in Inbox, no double-queue; no real SMS sent.</t>
        </is>
      </c>
      <c r="G13" s="12" t="inlineStr">
        <is>
          <t>Fix the 'Send due messages now' manual trigger so it evaluates due service reminders using the same query/filters as the scheduled cron job and queues the due messages (it currently returns 'Queue processed: 0 message(s) handled' while due reminders exist). Acceptance: with a due reminder present (e.g., due Oct 1), clicking the trigger queues it and reports the handled count.</t>
        </is>
      </c>
    </row>
    <row r="14">
      <c r="A14" s="15" t="inlineStr">
        <is>
          <t>BUG-013</t>
        </is>
      </c>
      <c r="B14" s="16" t="inlineStr">
        <is>
          <t>No UI to edit vehicle details (odometer cannot be updated)</t>
        </is>
      </c>
      <c r="C14" s="14" t="inlineStr">
        <is>
          <t>Medium</t>
        </is>
      </c>
      <c r="D14" s="15" t="inlineStr">
        <is>
          <t>TC-E02</t>
        </is>
      </c>
      <c r="E14" s="15" t="inlineStr">
        <is>
          <t>Fixed (verified 2026-10-02)</t>
        </is>
      </c>
      <c r="F14" s="16" t="inlineStr">
        <is>
          <t>The 'Vehicle' button only opens 'Add vehicle'; clicking the plate text does nothing; no edit affordance exists for km/plate. Related to BUG-007 (no customer edit UI). Km-based service reminders cannot be exercised without odometer updates. | RETEST 2026-10-02: vehicle Edit dialog (make/model/year/plate/odometer/VIN) works; vehicle.updated audited.</t>
        </is>
      </c>
      <c r="G14" s="12" t="inlineStr">
        <is>
          <t>Add an Edit affordance on the vehicle card (plate, odometer/km, make/model/year) with validation, persisted immediately. This unblocks km-based service reminders, which require odometer updates. Acceptance: update a vehicle's odometer -&gt; saved; km-based reminder scheduling uses the new value.</t>
        </is>
      </c>
    </row>
    <row r="15">
      <c r="A15" s="15" t="inlineStr">
        <is>
          <t>BUG-014</t>
        </is>
      </c>
      <c r="B15" s="16" t="inlineStr">
        <is>
          <t>Audit log missing login events and consent opt-in events; no actor/date filters</t>
        </is>
      </c>
      <c r="C15" s="14" t="inlineStr">
        <is>
          <t>High</t>
        </is>
      </c>
      <c r="D15" s="15" t="inlineStr">
        <is>
          <t>TC-H05</t>
        </is>
      </c>
      <c r="E15" s="15" t="inlineStr">
        <is>
          <t>Fixed (verified 2026-10-02)</t>
        </is>
      </c>
      <c r="F15" s="16" t="inlineStr">
        <is>
          <t>Super-admin Audit log has only an action-name text filter (no actor/role, no date-range). Missing event categories: (1) login/logout events — three sign-ins performed during QA produced zero login events; (2) consent opt-in events — the public-booking opt-in appears only in the customer-level consent ledger, never in the audit log (while consent.opted-out IS logged). | RETEST 2026-10-02: auth.login/logout/failed + consent.opted-in/opted-out logged; actor + date-range filters work.</t>
        </is>
      </c>
      <c r="G15" s="16" t="inlineStr">
        <is>
          <t>Log auth events (login success/failure, logout) and consent opt-ins to the audit log with actor id, tenant id, and timestamp — symmetric with the existing consent.opted-out events. Add actor/role and date-range filter controls to the Audit log UI. Acceptance: sign-in produces a login event; a public-booking opt-in produces an audit event; both filters return correct scoped results.</t>
        </is>
      </c>
    </row>
    <row r="16">
      <c r="A16" s="15" t="inlineStr">
        <is>
          <t>BUG-015</t>
        </is>
      </c>
      <c r="B16" s="16" t="inlineStr">
        <is>
          <t>Bearer token embedded in served page source (Emergent preview overlay token)</t>
        </is>
      </c>
      <c r="C16" s="14" t="inlineStr">
        <is>
          <t>Low</t>
        </is>
      </c>
      <c r="D16" s="15" t="inlineStr">
        <is>
          <t>TC-K03</t>
        </is>
      </c>
      <c r="E16" s="15" t="inlineStr">
        <is>
          <t>Closed - Not a defect</t>
        </is>
      </c>
      <c r="F16" s="16" t="inlineStr">
        <is>
          <t>A 32-hex-character bearer token (X-Emergent-Overlay-Token, used by the Emergent preview overlay's report/crash-replay endpoints) is present in an inline script in the served index HTML. It is injected by Emergent's preview tooling, not RevLoop's own code — but it is a real credential in client-served code. No Stripe/Twilio/app secrets found; admin keys are masked server-side. | Emergent closed as not a defect: token is preview instrumentation, absent in production. Production verification pending.</t>
        </is>
      </c>
      <c r="G16" s="16" t="inlineStr">
        <is>
          <t>Audit served HTML/JS for secrets before production: strip preview-only instrumentation (including the overlay bearer token) from production builds and ensure no credentials are embedded in client-served code. Acceptance: page source and JS bundles contain no bearer tokens or API secrets.</t>
        </is>
      </c>
    </row>
    <row r="17">
      <c r="A17" s="15" t="inlineStr">
        <is>
          <t>BUG-016</t>
        </is>
      </c>
      <c r="B17" s="16" t="inlineStr">
        <is>
          <t>Health dashboard has no status rows for VAPI / ElevenLabs</t>
        </is>
      </c>
      <c r="C17" s="14" t="inlineStr">
        <is>
          <t>Low</t>
        </is>
      </c>
      <c r="D17" s="15" t="inlineStr">
        <is>
          <t>TC-I05</t>
        </is>
      </c>
      <c r="E17" s="15" t="inlineStr">
        <is>
          <t>Fixed (verified 2026-10-02)</t>
        </is>
      </c>
      <c r="F17" s="16" t="inlineStr">
        <is>
          <t>Health tab shows live status for Database, Twilio, SMS mode and last cron run, and Integrations offers a live 'Test connection' — but there are no VAPI/ElevenLabs status rows on the Health dashboard (ElevenLabs only shows 'not set' under Integrations). | RETEST 2026-10-02: Health shows Vapi ok, ElevenLabs PENDING not set, free-number count, last cron run.</t>
        </is>
      </c>
      <c r="G17" s="16" t="inlineStr">
        <is>
          <t>Add VAPI and ElevenLabs rows to the Health dashboard with live reachability checks (same pattern as Twilio's Test connection). Acceptance: Health tab shows real VAPI/ElevenLabs status, not just the Integrations page.</t>
        </is>
      </c>
    </row>
    <row r="18">
      <c r="A18" s="15" t="inlineStr">
        <is>
          <t>BUG-017</t>
        </is>
      </c>
      <c r="B18" s="16" t="inlineStr">
        <is>
          <t>No admin UI for default trial length or direct tenant creation</t>
        </is>
      </c>
      <c r="C18" s="14" t="inlineStr">
        <is>
          <t>Medium</t>
        </is>
      </c>
      <c r="D18" s="15" t="inlineStr">
        <is>
          <t>TC-I02</t>
        </is>
      </c>
      <c r="E18" s="15" t="inlineStr">
        <is>
          <t>Fixed (verified 2026-10-02)</t>
        </is>
      </c>
      <c r="F18" s="16" t="inlineStr">
        <is>
          <t>Super-admin has no 'default trial days' setting (checked all admin tabs) and no create-tenant control in the Garages tab — tenants only arrive via the public signup flow, so trial-length policy cannot be managed or verified. | RETEST 2026-10-02: DEFAULT_TRIAL_DAYS setting + Create-garage form present (form NOT submitted).</t>
        </is>
      </c>
      <c r="G18" s="16" t="inlineStr">
        <is>
          <t>Add super-admin controls: (1) default trial length (days) applied to new signups; (2) a create-tenant action in the Garages tab. Acceptance: changing the default trial changes the next signup's trial period; admin can create a tenant directly.</t>
        </is>
      </c>
    </row>
    <row r="19">
      <c r="A19" t="inlineStr">
        <is>
          <t>BUG-018</t>
        </is>
      </c>
      <c r="B19" t="inlineStr">
        <is>
          <t>No plan upgrade/downgrade option in billing UI</t>
        </is>
      </c>
      <c r="C19" t="inlineStr">
        <is>
          <t>Medium</t>
        </is>
      </c>
      <c r="D19" t="inlineStr">
        <is>
          <t>TC-G02</t>
        </is>
      </c>
      <c r="E19" t="inlineStr">
        <is>
          <t>Fixed - Ready for retest</t>
        </is>
      </c>
      <c r="F19" t="inlineStr">
        <is>
          <t>With an active Starter subscription, the Stripe Billing Portal offers no way to change plans mid-cycle; the app Billing tab also shows no change-plan control. TC-G02 expected upgrade/downgrade with proration. | Follow-up needed: this defect was in an older Drive copy and never reached Emergent.</t>
        </is>
      </c>
      <c r="G19" t="inlineStr">
        <is>
          <t>Add plan-change UI in the Billing tab (upgrade/downgrade between plans) wired to the Stripe subscription update API with proration, or enable plan switching in the Stripe customer portal configuration. Acceptance: garage can upgrade/downgrade from the Billing tab; Stripe subscription updates with correct proration; next invoice reflects the change.</t>
        </is>
      </c>
      <c r="H19" s="19" t="inlineStr">
        <is>
          <t>With an active subscription, Billing now shows Upgrade/Downgrade cards for the other plans. Switching updates the Stripe subscription with proration (the difference is invoiced immediately), updates the plan and text allowance, and is audited (billing.plan.changed).</t>
        </is>
      </c>
      <c r="I19" s="19" t="inlineStr">
        <is>
          <t>Tested: without a subscription the request is correctly refused. A full switch on a live test subscription wasn't run. Please retest TC-G02 on your Starter garage.</t>
        </is>
      </c>
      <c r="J19" s="19" t="inlineStr">
        <is>
          <t>2026-10-02</t>
        </is>
      </c>
    </row>
    <row r="20">
      <c r="A20" t="inlineStr">
        <is>
          <t>BUG-019</t>
        </is>
      </c>
      <c r="B20" t="inlineStr">
        <is>
          <t>CSV import coerces invalid vehicle year to 0 instead of rejecting the row</t>
        </is>
      </c>
      <c r="C20" t="inlineStr">
        <is>
          <t>Medium</t>
        </is>
      </c>
      <c r="D20" t="inlineStr">
        <is>
          <t>TC-B05</t>
        </is>
      </c>
      <c r="E20" t="inlineStr">
        <is>
          <t>Fixed - Ready for retest</t>
        </is>
      </c>
      <c r="F20" t="inlineStr">
        <is>
          <t>b05_malformed.csv row "QA Bad Year" (year=notayear, phone +15550103132) was imported as "0 Kia Forte" (BAD002) — the invalid year was silently coerced to 0 and the record created. "QA Bad NoPhone" was correctly rejected. | Follow-up needed: this defect was in an older Drive copy and never reached Emergent.</t>
        </is>
      </c>
      <c r="G20" t="inlineStr">
        <is>
          <t>Validate the vehicle year on CSV import: reject rows with a missing/invalid year and list them in the import error summary. Acceptance: no record is created for invalid-year rows; the row appears in the import error list with a clear message.</t>
        </is>
      </c>
      <c r="H20" s="19" t="inlineStr">
        <is>
          <t>CSV import now rejects a row whose vehicle columns have a missing or invalid year (outside 1900-2100), or a make/plate missing. The row is listed in the import errors and no customer is created for it.</t>
        </is>
      </c>
      <c r="I20" s="19" t="inlineStr">
        <is>
          <t>Tested: 'notayear' row rejected; valid rows still import</t>
        </is>
      </c>
      <c r="J20" s="19" t="inlineStr">
        <is>
          <t>2026-10-02</t>
        </is>
      </c>
    </row>
    <row r="21">
      <c r="A21" t="inlineStr">
        <is>
          <t>BUG-020</t>
        </is>
      </c>
      <c r="B21" t="inlineStr">
        <is>
          <t>Customer list row count does not match dashboard customer total</t>
        </is>
      </c>
      <c r="C21" t="inlineStr">
        <is>
          <t>Low</t>
        </is>
      </c>
      <c r="D21" t="inlineStr">
        <is>
          <t>TC-B03</t>
        </is>
      </c>
      <c r="E21" t="inlineStr">
        <is>
          <t>Fixed - Ready for retest</t>
        </is>
      </c>
      <c r="F21" t="inlineStr">
        <is>
          <t>After the CSV imports, the Customers page renders 16 rows while the dashboard reports 17 total customers ("1 of 17 customers have SMS consent"). One record is not rendered — possibly pagination or a count/list discrepancy. RECHECK 2026-10-01 night: Customers list now renders all 17 records (no pagination) matching the dashboard total — discrepancy not reproduced; may have been a transient render. Kept open for Emergent to verify list/count consistency. | Follow-up needed: this defect was in an older Drive copy and never reached Emergent.</t>
        </is>
      </c>
      <c r="G21" t="inlineStr">
        <is>
          <t>Reconcile the Customers list with the dashboard total: either paginate with a visible total or render all records. Acceptance: the number of customers shown (across pages) matches the dashboard total.</t>
        </is>
      </c>
      <c r="H21" s="19" t="inlineStr">
        <is>
          <t>Couldn't reproduce (your own recheck showed 17 = 17). The Customers page now shows the total count, which matches the dashboard total, and the list limit was raised from 1,000 to 10,000 so large garages are never cut off.</t>
        </is>
      </c>
      <c r="I21" s="19" t="inlineStr">
        <is>
          <t>Tested: page count matches the dashboard total</t>
        </is>
      </c>
      <c r="J21" s="19" t="inlineStr">
        <is>
          <t>2026-10-02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2026-10-01T18:54:44Z</dcterms:created>
  <dcterms:modified xsi:type="dcterms:W3CDTF">2026-10-02T03:43:33Z</dcterms:modified>
</cp:coreProperties>
</file>