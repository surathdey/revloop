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on Tracker" sheetId="1" state="visible" r:id="rId1"/>
    <sheet name="Summary" sheetId="2" state="visible" r:id="rId2"/>
    <sheet name="Defects" sheetId="3" state="visible" r:id="rId3"/>
  </sheets>
  <definedNames>
    <definedName name="_xlnm._FilterDatabase" localSheetId="0" hidden="1">'Execution Tracker'!$A$1:$L$1</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b val="1"/>
      <color rgb="00FFFFFF"/>
      <sz val="10"/>
    </font>
    <font>
      <sz val="9"/>
    </font>
    <font>
      <b val="1"/>
      <color rgb="00C00000"/>
      <sz val="9"/>
    </font>
    <font>
      <b val="1"/>
      <color rgb="00ED7D31"/>
      <sz val="9"/>
    </font>
    <font>
      <b val="1"/>
      <color rgb="00404040"/>
      <sz val="9"/>
    </font>
    <font>
      <b val="1"/>
      <sz val="14"/>
    </font>
    <font>
      <b val="1"/>
      <sz val="11"/>
    </font>
    <font>
      <b val="1"/>
      <sz val="12"/>
    </font>
    <font>
      <i val="1"/>
      <color rgb="00555555"/>
    </font>
    <font>
      <b val="1"/>
      <color rgb="00006100"/>
      <sz val="9"/>
    </font>
    <font>
      <b val="1"/>
      <color rgb="009C0006"/>
      <sz val="9"/>
    </font>
    <font>
      <color rgb="00000000"/>
      <sz val="9"/>
    </font>
    <font>
      <b val="1"/>
      <color rgb="007F6000"/>
      <sz val="9"/>
    </font>
    <font>
      <b val="1"/>
    </font>
  </fonts>
  <fills count="4">
    <fill>
      <patternFill/>
    </fill>
    <fill>
      <patternFill patternType="gray125"/>
    </fill>
    <fill>
      <patternFill patternType="solid">
        <fgColor rgb="001F4E79"/>
      </patternFill>
    </fill>
    <fill>
      <patternFill patternType="solid">
        <fgColor rgb="00D9EAD3"/>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20">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top" wrapText="1"/>
    </xf>
    <xf numFmtId="0" fontId="2" fillId="0" borderId="1" applyAlignment="1" pivotButton="0" quotePrefix="0" xfId="0">
      <alignment horizontal="left" vertical="top" wrapText="1"/>
    </xf>
    <xf numFmtId="0" fontId="3" fillId="0" borderId="1" applyAlignment="1" pivotButton="0" quotePrefix="0" xfId="0">
      <alignment horizontal="center" vertical="top" wrapText="1"/>
    </xf>
    <xf numFmtId="0" fontId="4" fillId="0" borderId="1" applyAlignment="1" pivotButton="0" quotePrefix="0" xfId="0">
      <alignment horizontal="center" vertical="top" wrapText="1"/>
    </xf>
    <xf numFmtId="0" fontId="5" fillId="0" borderId="1" applyAlignment="1" pivotButton="0" quotePrefix="0" xfId="0">
      <alignment horizontal="center" vertical="top" wrapText="1"/>
    </xf>
    <xf numFmtId="0" fontId="6" fillId="0" borderId="0" pivotButton="0" quotePrefix="0" xfId="0"/>
    <xf numFmtId="0" fontId="7" fillId="0" borderId="0" pivotButton="0" quotePrefix="0" xfId="0"/>
    <xf numFmtId="0" fontId="8" fillId="0" borderId="0" applyAlignment="1" pivotButton="0" quotePrefix="0" xfId="0">
      <alignment horizontal="center"/>
    </xf>
    <xf numFmtId="0" fontId="9" fillId="0" borderId="0" pivotButton="0" quotePrefix="0" xfId="0"/>
    <xf numFmtId="0" fontId="10" fillId="0" borderId="1" applyAlignment="1" pivotButton="0" quotePrefix="0" xfId="0">
      <alignment horizontal="center" vertical="top" wrapText="1"/>
    </xf>
    <xf numFmtId="0" fontId="2" fillId="0" borderId="1" applyAlignment="1" pivotButton="0" quotePrefix="0" xfId="0">
      <alignment vertical="top" wrapText="1"/>
    </xf>
    <xf numFmtId="0" fontId="2" fillId="0" borderId="1" applyAlignment="1" pivotButton="0" quotePrefix="0" xfId="0">
      <alignment horizontal="center" vertical="top"/>
    </xf>
    <xf numFmtId="0" fontId="11" fillId="0" borderId="1" applyAlignment="1" pivotButton="0" quotePrefix="0" xfId="0">
      <alignment horizontal="center" vertical="top" wrapText="1"/>
    </xf>
    <xf numFmtId="0" fontId="12" fillId="0" borderId="1" applyAlignment="1" pivotButton="0" quotePrefix="0" xfId="0">
      <alignment horizontal="center" vertical="top" wrapText="1"/>
    </xf>
    <xf numFmtId="0" fontId="12" fillId="0" borderId="1" applyAlignment="1" pivotButton="0" quotePrefix="0" xfId="0">
      <alignment horizontal="left" vertical="top" wrapText="1"/>
    </xf>
    <xf numFmtId="0" fontId="13" fillId="0" borderId="1" applyAlignment="1" pivotButton="0" quotePrefix="0" xfId="0">
      <alignment horizontal="center" vertical="top" wrapText="1"/>
    </xf>
    <xf numFmtId="0" fontId="14" fillId="0" borderId="0" pivotButton="0" quotePrefix="0" xfId="0"/>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4E79"/>
    <outlinePr summaryBelow="1" summaryRight="1"/>
    <pageSetUpPr/>
  </sheetPr>
  <dimension ref="A1:L65"/>
  <sheetViews>
    <sheetView workbookViewId="0">
      <pane ySplit="1" topLeftCell="A2" activePane="bottomLeft" state="frozen"/>
      <selection pane="bottomLeft" activeCell="A1" sqref="A1"/>
    </sheetView>
  </sheetViews>
  <sheetFormatPr baseColWidth="8" defaultRowHeight="15"/>
  <cols>
    <col width="32" customWidth="1" min="1" max="1"/>
    <col width="10" customWidth="1" min="2" max="2"/>
    <col width="30" customWidth="1" min="3" max="3"/>
    <col width="28" customWidth="1" min="4" max="4"/>
    <col width="45" customWidth="1" min="5" max="5"/>
    <col width="45" customWidth="1" min="6" max="6"/>
    <col width="9" customWidth="1" min="7" max="7"/>
    <col width="11" customWidth="1" min="8" max="8"/>
    <col width="30" customWidth="1" min="9" max="9"/>
    <col width="10" customWidth="1" min="10" max="10"/>
    <col width="13" customWidth="1" min="11" max="11"/>
    <col width="25" customWidth="1" min="12" max="12"/>
  </cols>
  <sheetData>
    <row r="1" ht="30" customHeight="1">
      <c r="A1" s="1" t="inlineStr">
        <is>
          <t>Section</t>
        </is>
      </c>
      <c r="B1" s="1" t="inlineStr">
        <is>
          <t>TC ID</t>
        </is>
      </c>
      <c r="C1" s="1" t="inlineStr">
        <is>
          <t>Scenario</t>
        </is>
      </c>
      <c r="D1" s="1" t="inlineStr">
        <is>
          <t>Preconditions</t>
        </is>
      </c>
      <c r="E1" s="1" t="inlineStr">
        <is>
          <t>Test Steps</t>
        </is>
      </c>
      <c r="F1" s="1" t="inlineStr">
        <is>
          <t>Expected Result</t>
        </is>
      </c>
      <c r="G1" s="1" t="inlineStr">
        <is>
          <t>Priority</t>
        </is>
      </c>
      <c r="H1" s="1" t="inlineStr">
        <is>
          <t>Status</t>
        </is>
      </c>
      <c r="I1" s="1" t="inlineStr">
        <is>
          <t>Actual Result</t>
        </is>
      </c>
      <c r="J1" s="1" t="inlineStr">
        <is>
          <t>Defect ID</t>
        </is>
      </c>
      <c r="K1" s="1" t="inlineStr">
        <is>
          <t>Executed On</t>
        </is>
      </c>
      <c r="L1" s="1" t="inlineStr">
        <is>
          <t>Notes</t>
        </is>
      </c>
    </row>
    <row r="2">
      <c r="A2" s="2" t="inlineStr">
        <is>
          <t>6.1 Authentication &amp; authorization</t>
        </is>
      </c>
      <c r="B2" s="2" t="inlineStr">
        <is>
          <t>TC-A01</t>
        </is>
      </c>
      <c r="C2" s="3" t="inlineStr">
        <is>
          <t>Garage owner signup &amp; onboarding checklist</t>
        </is>
      </c>
      <c r="D2" s="3" t="inlineStr">
        <is>
          <t>None</t>
        </is>
      </c>
      <c r="E2" s="3" t="inlineStr">
        <is>
          <t>1. Sign up with a new email 2. Verify email 3. Complete onboarding: business profile, Twilio number assignment, add first customer 4. Reach dashboard</t>
        </is>
      </c>
      <c r="F2" s="3" t="inlineStr">
        <is>
          <t>Account created; checklist ticks off each step; dashboard loads with the assigned Twilio number visible</t>
        </is>
      </c>
      <c r="G2" s="4" t="inlineStr">
        <is>
          <t>P0</t>
        </is>
      </c>
      <c r="H2" s="11" t="inlineStr">
        <is>
          <t>Pass</t>
        </is>
      </c>
      <c r="I2" s="12" t="inlineStr">
        <is>
          <t>Signup OK (surathpar+revlooptest@gmail.com); no email verification required. Onboarding checklist ticked: address, Google review link, services, first customer. 'Garage approved' and 'Dedicated SMS number assigned' remain UNTICKED — admin number pool is EMPTY ('No free numbers in pool'), so no number can be assigned.</t>
        </is>
      </c>
      <c r="J2" s="2" t="inlineStr">
        <is>
          <t>BUG-006</t>
        </is>
      </c>
      <c r="K2" s="13" t="inlineStr">
        <is>
          <t>2026-10-01</t>
        </is>
      </c>
      <c r="L2" s="3" t="inlineStr"/>
    </row>
    <row r="3">
      <c r="A3" s="2" t="inlineStr">
        <is>
          <t>6.1 Authentication &amp; authorization</t>
        </is>
      </c>
      <c r="B3" s="2" t="inlineStr">
        <is>
          <t>TC-A02</t>
        </is>
      </c>
      <c r="C3" s="3" t="inlineStr">
        <is>
          <t>Staff invite &amp; role restrictions</t>
        </is>
      </c>
      <c r="D3" s="3" t="inlineStr">
        <is>
          <t>Owner account active</t>
        </is>
      </c>
      <c r="E3" s="3" t="inlineStr">
        <is>
          <t>1. Owner invites staff by email 2. Staff accepts &amp; logs in 3. Use CRM, calendar, conversations 4. Try Settings, Billing, SMS Templates</t>
        </is>
      </c>
      <c r="F3" s="3" t="inlineStr">
        <is>
          <t>Allowed areas work; Settings/Billing/Templates return 403 (not just hidden links)</t>
        </is>
      </c>
      <c r="G3" s="4" t="inlineStr">
        <is>
          <t>P0</t>
        </is>
      </c>
      <c r="H3" s="14" t="inlineStr">
        <is>
          <t>Fail</t>
        </is>
      </c>
      <c r="I3" s="12" t="inlineStr">
        <is>
          <t>Invite sent to surathpar+revloopstaff@gmail.com (pending, not accepted). Staff login works; Calendar/Customers/Inbox load; menu shows only allowed areas. BUT direct URLs /settings, /templates, /billing silently REDIRECT to /calendar instead of returning 403.</t>
        </is>
      </c>
      <c r="J3" s="2" t="inlineStr">
        <is>
          <t>BUG-001</t>
        </is>
      </c>
      <c r="K3" s="13" t="inlineStr">
        <is>
          <t>2026-10-01</t>
        </is>
      </c>
      <c r="L3" s="3" t="inlineStr">
        <is>
          <t>2026-10-02: linked defect(s) fixed - ready for retest</t>
        </is>
      </c>
    </row>
    <row r="4">
      <c r="A4" s="2" t="inlineStr">
        <is>
          <t>6.1 Authentication &amp; authorization</t>
        </is>
      </c>
      <c r="B4" s="2" t="inlineStr">
        <is>
          <t>TC-A03</t>
        </is>
      </c>
      <c r="C4" s="3" t="inlineStr">
        <is>
          <t>Staff direct-URL access to billing</t>
        </is>
      </c>
      <c r="D4" s="3" t="inlineStr">
        <is>
          <t>Staff logged in</t>
        </is>
      </c>
      <c r="E4" s="3" t="inlineStr">
        <is>
          <t>Navigate directly to the billing/settings URL</t>
        </is>
      </c>
      <c r="F4" s="3" t="inlineStr">
        <is>
          <t>403 page; attempt written to audit log</t>
        </is>
      </c>
      <c r="G4" s="4" t="inlineStr">
        <is>
          <t>P0</t>
        </is>
      </c>
      <c r="H4" s="14" t="inlineStr">
        <is>
          <t>Fail</t>
        </is>
      </c>
      <c r="I4" s="12" t="inlineStr">
        <is>
          <t>Direct navigation to /billing as staff redirects to /calendar — no 403 page. No audit-log entry for the attempt (verified in super-admin Audit log).</t>
        </is>
      </c>
      <c r="J4" s="2" t="inlineStr">
        <is>
          <t>BUG-001, BUG-002</t>
        </is>
      </c>
      <c r="K4" s="13" t="inlineStr">
        <is>
          <t>2026-10-01</t>
        </is>
      </c>
      <c r="L4" s="3" t="inlineStr">
        <is>
          <t>2026-10-02: linked defect(s) fixed - ready for retest</t>
        </is>
      </c>
    </row>
    <row r="5">
      <c r="A5" s="2" t="inlineStr">
        <is>
          <t>6.1 Authentication &amp; authorization</t>
        </is>
      </c>
      <c r="B5" s="2" t="inlineStr">
        <is>
          <t>TC-A04</t>
        </is>
      </c>
      <c r="C5" s="3" t="inlineStr">
        <is>
          <t>Cross-tenant isolation</t>
        </is>
      </c>
      <c r="D5" s="3" t="inlineStr">
        <is>
          <t>Garages A and B exist</t>
        </is>
      </c>
      <c r="E5" s="3" t="inlineStr">
        <is>
          <t>As Garage A owner, open a Garage B customer/booking URL by editing the ID</t>
        </is>
      </c>
      <c r="F5" s="3" t="inlineStr">
        <is>
          <t>403; no Garage B data leaked; audit log entry</t>
        </is>
      </c>
      <c r="G5" s="4" t="inlineStr">
        <is>
          <t>P0</t>
        </is>
      </c>
      <c r="H5" s="14" t="inlineStr">
        <is>
          <t>Fail</t>
        </is>
      </c>
      <c r="I5" s="12" t="inlineStr">
        <is>
          <t>Opened other tenant's customer URL as Demo Auto Toronto owner: shows 'Customer not found' — no data leaked (isolation holds), but no 403 page and no audit-log entry.</t>
        </is>
      </c>
      <c r="J5" s="2" t="inlineStr">
        <is>
          <t>BUG-002, BUG-003</t>
        </is>
      </c>
      <c r="K5" s="13" t="inlineStr">
        <is>
          <t>2026-10-01</t>
        </is>
      </c>
      <c r="L5" s="3" t="inlineStr">
        <is>
          <t>2026-10-02: linked defect(s) fixed - ready for retest</t>
        </is>
      </c>
    </row>
    <row r="6">
      <c r="A6" s="2" t="inlineStr">
        <is>
          <t>6.1 Authentication &amp; authorization</t>
        </is>
      </c>
      <c r="B6" s="2" t="inlineStr">
        <is>
          <t>TC-A05</t>
        </is>
      </c>
      <c r="C6" s="3" t="inlineStr">
        <is>
          <t>Admin impersonation with audit</t>
        </is>
      </c>
      <c r="D6" s="3" t="inlineStr">
        <is>
          <t>Admin account</t>
        </is>
      </c>
      <c r="E6" s="3" t="inlineStr">
        <is>
          <t>1. Admin starts impersonation of a garage owner 2. Perform an action 3. End impersonation</t>
        </is>
      </c>
      <c r="F6" s="3" t="inlineStr">
        <is>
          <t>Visible impersonation banner; every action logged under the admin's identity</t>
        </is>
      </c>
      <c r="G6" s="5" t="inlineStr">
        <is>
          <t>P1</t>
        </is>
      </c>
      <c r="H6" s="11" t="inlineStr">
        <is>
          <t>Pass</t>
        </is>
      </c>
      <c r="I6" s="12" t="inlineStr">
        <is>
          <t>Support login required a reason (&gt;=10 chars); banner 'Support mode: viewing Demo Auto Toronto. All actions are audited.' shown with Exit button; start/stop logged under admin identity.</t>
        </is>
      </c>
      <c r="J6" s="2" t="inlineStr"/>
      <c r="K6" s="13" t="inlineStr">
        <is>
          <t>2026-10-01</t>
        </is>
      </c>
      <c r="L6" s="3" t="inlineStr"/>
    </row>
    <row r="7">
      <c r="A7" s="2" t="inlineStr">
        <is>
          <t>6.1 Authentication &amp; authorization</t>
        </is>
      </c>
      <c r="B7" s="2" t="inlineStr">
        <is>
          <t>TC-A06</t>
        </is>
      </c>
      <c r="C7" s="3" t="inlineStr">
        <is>
          <t>Session timeout &amp; password reset</t>
        </is>
      </c>
      <c r="D7" s="3" t="inlineStr">
        <is>
          <t>Active login</t>
        </is>
      </c>
      <c r="E7" s="3" t="inlineStr">
        <is>
          <t>1. Idle past the timeout 2. Use 'forgot password' and reset via email link</t>
        </is>
      </c>
      <c r="F7" s="3" t="inlineStr">
        <is>
          <t>Logged out after timeout; old sessions invalidated after reset</t>
        </is>
      </c>
      <c r="G7" s="5" t="inlineStr">
        <is>
          <t>P1</t>
        </is>
      </c>
      <c r="H7" s="14" t="inlineStr">
        <is>
          <t>Fail</t>
        </is>
      </c>
      <c r="I7" s="12" t="inlineStr">
        <is>
          <t>Session timeout: NO timeout setting found in admin or garage settings; sessions persisted ~25 min; expiry unverifiable. Password reset: NO forgot-password link on login page; /forgot-password and /reset-password both redirect to /login — reset flow does not exist.</t>
        </is>
      </c>
      <c r="J7" s="2" t="inlineStr">
        <is>
          <t>BUG-004, BUG-005</t>
        </is>
      </c>
      <c r="K7" s="13" t="inlineStr">
        <is>
          <t>2026-10-01</t>
        </is>
      </c>
      <c r="L7" s="3" t="inlineStr">
        <is>
          <t>2026-10-02: linked defect(s) fixed - ready for retest</t>
        </is>
      </c>
    </row>
    <row r="8">
      <c r="A8" s="2" t="inlineStr">
        <is>
          <t>6.2 CRM, vehicles &amp; CSV import</t>
        </is>
      </c>
      <c r="B8" s="2" t="inlineStr">
        <is>
          <t>TC-B01</t>
        </is>
      </c>
      <c r="C8" s="3" t="inlineStr">
        <is>
          <t>Add / edit / search customer</t>
        </is>
      </c>
      <c r="D8" s="3" t="inlineStr">
        <is>
          <t>Owner logged in</t>
        </is>
      </c>
      <c r="E8" s="3" t="inlineStr">
        <is>
          <t>1. Add customer (name, phone, email) 2. Edit phone 3. Search by name and by phone</t>
        </is>
      </c>
      <c r="F8" s="3" t="inlineStr">
        <is>
          <t>Customer saved; edits persist; search finds it both ways</t>
        </is>
      </c>
      <c r="G8" s="4" t="inlineStr">
        <is>
          <t>P0</t>
        </is>
      </c>
      <c r="H8" s="14" t="inlineStr">
        <is>
          <t>Fail</t>
        </is>
      </c>
      <c r="I8" s="12" t="inlineStr">
        <is>
          <t>Customer 'QA B01 Test' (+15550102222, qa.b01@example.com, vehicle 2020 TestMake TestModel QA0123) saved; search by name and phone both work. BUT there is NO UI to edit a customer's name/phone/email — profile page has only Consent / Vehicle / Book buttons; list rows are plain links.</t>
        </is>
      </c>
      <c r="J8" s="2" t="inlineStr">
        <is>
          <t>BUG-007</t>
        </is>
      </c>
      <c r="K8" s="13" t="inlineStr">
        <is>
          <t>2026-10-01</t>
        </is>
      </c>
      <c r="L8" s="3" t="inlineStr">
        <is>
          <t>2026-10-02: linked defect(s) fixed - ready for retest</t>
        </is>
      </c>
    </row>
    <row r="9">
      <c r="A9" s="2" t="inlineStr">
        <is>
          <t>6.2 CRM, vehicles &amp; CSV import</t>
        </is>
      </c>
      <c r="B9" s="2" t="inlineStr">
        <is>
          <t>TC-B02</t>
        </is>
      </c>
      <c r="C9" s="3" t="inlineStr">
        <is>
          <t>Vehicle + service history</t>
        </is>
      </c>
      <c r="D9" s="3" t="inlineStr">
        <is>
          <t>Customer exists</t>
        </is>
      </c>
      <c r="E9" s="3" t="inlineStr">
        <is>
          <t>1. Add vehicle (make/model/year/plate/km) 2. Add service record (date, job, cost) 3. Open history timeline</t>
        </is>
      </c>
      <c r="F9" s="3" t="inlineStr">
        <is>
          <t>Vehicle linked to customer; service history shows newest-first with totals</t>
        </is>
      </c>
      <c r="G9" s="4" t="inlineStr">
        <is>
          <t>P0</t>
        </is>
      </c>
      <c r="H9" s="11" t="inlineStr">
        <is>
          <t>Pass</t>
        </is>
      </c>
      <c r="I9" s="12" t="inlineStr">
        <is>
          <t>Added 2019 Honda Civic (QA2019, 45,200 km) + 2 service records via completing appointments (Oil &amp; filter $89.95, Tire change $120.00). SERVICE HISTORY newest-first with per-record costs. Notes: no aggregate Total row; history shows completing user (Dev Patel) not assigned tech; past-dated appointments rejected so records only via completing future appointments.</t>
        </is>
      </c>
      <c r="J9" s="2" t="inlineStr"/>
      <c r="K9" s="13" t="inlineStr">
        <is>
          <t>2026-10-01</t>
        </is>
      </c>
      <c r="L9" s="3" t="inlineStr"/>
    </row>
    <row r="10">
      <c r="A10" s="2" t="inlineStr">
        <is>
          <t>6.2 CRM, vehicles &amp; CSV import</t>
        </is>
      </c>
      <c r="B10" s="2" t="inlineStr">
        <is>
          <t>TC-B03</t>
        </is>
      </c>
      <c r="C10" s="3" t="inlineStr">
        <is>
          <t>CSV import — happy path</t>
        </is>
      </c>
      <c r="D10" s="3" t="inlineStr">
        <is>
          <t>Clean CSV with 10 new customers</t>
        </is>
      </c>
      <c r="E10" s="3" t="inlineStr">
        <is>
          <t>Upload via Import; map columns; run</t>
        </is>
      </c>
      <c r="F10" s="3" t="inlineStr">
        <is>
          <t>10 customers created; import summary shows 10 added / 0 skipped / 0 errors</t>
        </is>
      </c>
      <c r="G10" s="4" t="inlineStr">
        <is>
          <t>P0</t>
        </is>
      </c>
      <c r="H10" s="17" t="inlineStr">
        <is>
          <t>Blocked</t>
        </is>
      </c>
      <c r="I10" s="12" t="inlineStr">
        <is>
          <t>Tooling limitation: no way to attach a CSV file to the import dialog. Tried: file grants (platform returns 'browser input file is unavailable'), downloading from hosted links (org egress policy blocks the host), data: URLs (crash automation), JS file-input scripting (no JS evaluation in this environment). CSVs are prepared and ready for manual run.</t>
        </is>
      </c>
      <c r="J10" s="2" t="inlineStr"/>
      <c r="K10" s="13" t="inlineStr">
        <is>
          <t>2026-10-01</t>
        </is>
      </c>
      <c r="L10" s="3" t="inlineStr"/>
    </row>
    <row r="11">
      <c r="A11" s="2" t="inlineStr">
        <is>
          <t>6.2 CRM, vehicles &amp; CSV import</t>
        </is>
      </c>
      <c r="B11" s="2" t="inlineStr">
        <is>
          <t>TC-B04</t>
        </is>
      </c>
      <c r="C11" s="3" t="inlineStr">
        <is>
          <t>CSV import — duplicate phones skipped</t>
        </is>
      </c>
      <c r="D11" s="3" t="inlineStr">
        <is>
          <t>2 rows share a phone with existing customers</t>
        </is>
      </c>
      <c r="E11" s="3" t="inlineStr">
        <is>
          <t>Upload and run import</t>
        </is>
      </c>
      <c r="F11" s="3" t="inlineStr">
        <is>
          <t>Duplicates skipped or merged per spec; report shows exactly which rows and why</t>
        </is>
      </c>
      <c r="G11" s="4" t="inlineStr">
        <is>
          <t>P0</t>
        </is>
      </c>
      <c r="H11" s="17" t="inlineStr">
        <is>
          <t>Blocked</t>
        </is>
      </c>
      <c r="I11" s="12" t="inlineStr">
        <is>
          <t>Same tooling blocker as B03 — import could not be executed. Existing customers +14165551000 (Aisha Khan) and +14165551001 (Ben Martin) confirmed present for the duplicate test when run manually.</t>
        </is>
      </c>
      <c r="J11" s="2" t="inlineStr"/>
      <c r="K11" s="13" t="inlineStr">
        <is>
          <t>2026-10-01</t>
        </is>
      </c>
      <c r="L11" s="3" t="inlineStr"/>
    </row>
    <row r="12">
      <c r="A12" s="2" t="inlineStr">
        <is>
          <t>6.2 CRM, vehicles &amp; CSV import</t>
        </is>
      </c>
      <c r="B12" s="2" t="inlineStr">
        <is>
          <t>TC-B05</t>
        </is>
      </c>
      <c r="C12" s="3" t="inlineStr">
        <is>
          <t>CSV import — malformed rows</t>
        </is>
      </c>
      <c r="D12" s="3" t="inlineStr">
        <is>
          <t>CSV with 2 bad rows (missing phone, bad date)</t>
        </is>
      </c>
      <c r="E12" s="3" t="inlineStr">
        <is>
          <t>Upload and run import</t>
        </is>
      </c>
      <c r="F12" s="3" t="inlineStr">
        <is>
          <t>Bad rows listed with row numbers and reasons; valid rows still import</t>
        </is>
      </c>
      <c r="G12" s="5" t="inlineStr">
        <is>
          <t>P1</t>
        </is>
      </c>
      <c r="H12" s="17" t="inlineStr">
        <is>
          <t>Blocked</t>
        </is>
      </c>
      <c r="I12" s="12" t="inlineStr">
        <is>
          <t>Same tooling blocker as B03 — import could not be executed.</t>
        </is>
      </c>
      <c r="J12" s="2" t="inlineStr"/>
      <c r="K12" s="13" t="inlineStr">
        <is>
          <t>2026-10-01</t>
        </is>
      </c>
      <c r="L12" s="3" t="inlineStr"/>
    </row>
    <row r="13">
      <c r="A13" s="2" t="inlineStr">
        <is>
          <t>6.2 CRM, vehicles &amp; CSV import</t>
        </is>
      </c>
      <c r="B13" s="2" t="inlineStr">
        <is>
          <t>TC-B06</t>
        </is>
      </c>
      <c r="C13" s="3" t="inlineStr">
        <is>
          <t>CASL consent captured at customer creation</t>
        </is>
      </c>
      <c r="D13" s="3" t="inlineStr">
        <is>
          <t>Owner logged in</t>
        </is>
      </c>
      <c r="E13" s="3" t="inlineStr">
        <is>
          <t>Add a customer and tick the consent checkbox</t>
        </is>
      </c>
      <c r="F13" s="3" t="inlineStr">
        <is>
          <t>Consent ledger shows entry: customer, source 'manual', timestamp, opt-in=true</t>
        </is>
      </c>
      <c r="G13" s="4" t="inlineStr">
        <is>
          <t>P0</t>
        </is>
      </c>
      <c r="H13" s="11" t="inlineStr">
        <is>
          <t>Pass</t>
        </is>
      </c>
      <c r="I13" s="12" t="inlineStr">
        <is>
          <t>Created 'QA B06 Test' (+15550106666) via Quick add with SMS consent ticked. Profile Consent log tab shows EXPRESS entry ('staff attestation'), timestamp Oct 1 7:45 PM, accepted=true, full consent text. (Source labeled 'staff attestation' rather than 'manual'.)</t>
        </is>
      </c>
      <c r="J13" s="2" t="inlineStr"/>
      <c r="K13" s="13" t="inlineStr">
        <is>
          <t>2026-10-01</t>
        </is>
      </c>
      <c r="L13" s="3" t="inlineStr"/>
    </row>
    <row r="14">
      <c r="A14" s="2" t="inlineStr">
        <is>
          <t>6.3 Appointments, booking link &amp; SMS reminders</t>
        </is>
      </c>
      <c r="B14" s="2" t="inlineStr">
        <is>
          <t>TC-C01</t>
        </is>
      </c>
      <c r="C14" s="3" t="inlineStr">
        <is>
          <t>Create appointment in calendar</t>
        </is>
      </c>
      <c r="D14" s="3" t="inlineStr">
        <is>
          <t>Owner logged in</t>
        </is>
      </c>
      <c r="E14" s="3" t="inlineStr">
        <is>
          <t>Create appointment for tomorrow 10:00 AM with customer + service</t>
        </is>
      </c>
      <c r="F14" s="3" t="inlineStr">
        <is>
          <t>Appears on calendar; customer linked</t>
        </is>
      </c>
      <c r="G14" s="4" t="inlineStr">
        <is>
          <t>P0</t>
        </is>
      </c>
      <c r="H14" s="11" t="inlineStr">
        <is>
          <t>Pass</t>
        </is>
      </c>
      <c r="I14" s="12" t="inlineStr">
        <is>
          <t>Appointment Fri Oct 2 10:00 AM (Bay 2, Sam Rivera, QA B01 Test, Oil &amp; filter change) appears on calendar grid. Conflict-aware: Bay 1/Dev Patel 10:00 rejected ('already booked at this time'); Bay 2 + Sam Rivera succeeded ('confirmation queued').</t>
        </is>
      </c>
      <c r="J14" s="2" t="inlineStr"/>
      <c r="K14" s="13" t="inlineStr">
        <is>
          <t>2026-10-01</t>
        </is>
      </c>
      <c r="L14" s="3" t="inlineStr"/>
    </row>
    <row r="15">
      <c r="A15" s="2" t="inlineStr">
        <is>
          <t>6.3 Appointments, booking link &amp; SMS reminders</t>
        </is>
      </c>
      <c r="B15" s="2" t="inlineStr">
        <is>
          <t>TC-C02</t>
        </is>
      </c>
      <c r="C15" s="3" t="inlineStr">
        <is>
          <t>Public booking link — no login</t>
        </is>
      </c>
      <c r="D15" s="3" t="inlineStr">
        <is>
          <t>Booking link enabled</t>
        </is>
      </c>
      <c r="E15" s="3" t="inlineStr">
        <is>
          <t>Open link in incognito; book a slot as a new customer</t>
        </is>
      </c>
      <c r="F15" s="3" t="inlineStr">
        <is>
          <t>Booking lands on the correct garage's calendar; customer auto-created</t>
        </is>
      </c>
      <c r="G15" s="4" t="inlineStr">
        <is>
          <t>P0</t>
        </is>
      </c>
      <c r="H15" s="11" t="inlineStr">
        <is>
          <t>Pass</t>
        </is>
      </c>
      <c r="I15" s="12" t="inlineStr">
        <is>
          <t>Logged out; /book/demo-auto-toronto works with no session. Booked Oil &amp; filter change Fri Oct 2 10:00 AM as 'QA SMS Test' (+16476094072) with consent ticked. 'You're booked!'; appointment on Demo Auto Toronto's Oct 2 calendar; customer auto-created with EXPRESS consent.</t>
        </is>
      </c>
      <c r="J15" s="2" t="inlineStr"/>
      <c r="K15" s="13" t="inlineStr">
        <is>
          <t>2026-10-01</t>
        </is>
      </c>
      <c r="L15" s="3" t="inlineStr"/>
    </row>
    <row r="16">
      <c r="A16" s="2" t="inlineStr">
        <is>
          <t>6.3 Appointments, booking link &amp; SMS reminders</t>
        </is>
      </c>
      <c r="B16" s="2" t="inlineStr">
        <is>
          <t>TC-C03</t>
        </is>
      </c>
      <c r="C16" s="3" t="inlineStr">
        <is>
          <t>QR code resolves to booking link</t>
        </is>
      </c>
      <c r="D16" s="3" t="inlineStr">
        <is>
          <t>QR generated</t>
        </is>
      </c>
      <c r="E16" s="3" t="inlineStr">
        <is>
          <t>Scan QR (phone camera)</t>
        </is>
      </c>
      <c r="F16" s="3" t="inlineStr">
        <is>
          <t>Opens the same public booking link as TC-C02</t>
        </is>
      </c>
      <c r="G16" s="5" t="inlineStr">
        <is>
          <t>P1</t>
        </is>
      </c>
      <c r="H16" s="11" t="inlineStr">
        <is>
          <t>Pass</t>
        </is>
      </c>
      <c r="I16" s="12" t="inlineStr">
        <is>
          <t>Settings -&gt; Booking QR tab shows QR image next to 'PUBLIC BOOKING PAGE' with URL text identical to the TC-C02 booking link, plus Copy link / Download QR buttons. (Pixel-level QR decode not performed in-browser.)</t>
        </is>
      </c>
      <c r="J16" s="2" t="inlineStr"/>
      <c r="K16" s="13" t="inlineStr">
        <is>
          <t>2026-10-01</t>
        </is>
      </c>
      <c r="L16" s="3" t="inlineStr"/>
    </row>
    <row r="17">
      <c r="A17" s="2" t="inlineStr">
        <is>
          <t>6.3 Appointments, booking link &amp; SMS reminders</t>
        </is>
      </c>
      <c r="B17" s="2" t="inlineStr">
        <is>
          <t>TC-C04</t>
        </is>
      </c>
      <c r="C17" s="3" t="inlineStr">
        <is>
          <t>Double-booking prevention</t>
        </is>
      </c>
      <c r="D17" s="3" t="inlineStr">
        <is>
          <t>One bay / one slot config</t>
        </is>
      </c>
      <c r="E17" s="3" t="inlineStr">
        <is>
          <t>Book the same slot twice via the public link</t>
        </is>
      </c>
      <c r="F17" s="3" t="inlineStr">
        <is>
          <t>Second booking rejected with a clear message, or waitlist per config</t>
        </is>
      </c>
      <c r="G17" s="5" t="inlineStr">
        <is>
          <t>P1</t>
        </is>
      </c>
      <c r="H17" s="14" t="inlineStr">
        <is>
          <t>Fail</t>
        </is>
      </c>
      <c r="I17" s="12" t="inlineStr">
        <is>
          <t>Booked the SAME slot (Fri Oct 2 2:00 PM, Oil &amp; filter change) twice via the public link ('QA C04 One' +15550101111, 'QA C04 Two' +15550101112) — both returned 'You're booked!' and the slot still showed free. Contrast: in-app Calendar Book dialog DOES block conflicts. Public flow is missing the overlap check.</t>
        </is>
      </c>
      <c r="J17" s="2" t="inlineStr">
        <is>
          <t>BUG-008</t>
        </is>
      </c>
      <c r="K17" s="13" t="inlineStr">
        <is>
          <t>2026-10-01</t>
        </is>
      </c>
      <c r="L17" s="3" t="inlineStr">
        <is>
          <t>2026-10-02: linked defect(s) fixed - ready for retest</t>
        </is>
      </c>
    </row>
    <row r="18">
      <c r="A18" s="2" t="inlineStr">
        <is>
          <t>6.3 Appointments, booking link &amp; SMS reminders</t>
        </is>
      </c>
      <c r="B18" s="2" t="inlineStr">
        <is>
          <t>TC-C05</t>
        </is>
      </c>
      <c r="C18" s="3" t="inlineStr">
        <is>
          <t>Booking confirmation SMS</t>
        </is>
      </c>
      <c r="D18" s="3" t="inlineStr">
        <is>
          <t>Twilio test number configured</t>
        </is>
      </c>
      <c r="E18" s="3" t="inlineStr">
        <is>
          <t>Create a booking</t>
        </is>
      </c>
      <c r="F18" s="3" t="inlineStr">
        <is>
          <t>Confirmation SMS arrives promptly with date/time/business name</t>
        </is>
      </c>
      <c r="G18" s="4" t="inlineStr">
        <is>
          <t>P0</t>
        </is>
      </c>
      <c r="H18" s="11" t="inlineStr">
        <is>
          <t>Pass</t>
        </is>
      </c>
      <c r="I18" s="12" t="inlineStr">
        <is>
          <t>Outbound confirmation recorded in QA SMS Test thread: 'Demo Auto Toronto: Hi QA, your Oil &amp; filter change is booked for Fri, Oct 2 at 10:00 AM. Reply YES to confirm...' — status DELIVERED, correct business name/date/time. (Physical handset receipt not directly observable.)</t>
        </is>
      </c>
      <c r="J18" s="2" t="inlineStr"/>
      <c r="K18" s="13" t="inlineStr">
        <is>
          <t>2026-10-01</t>
        </is>
      </c>
      <c r="L18" s="3" t="inlineStr"/>
    </row>
    <row r="19">
      <c r="A19" s="2" t="inlineStr">
        <is>
          <t>6.3 Appointments, booking link &amp; SMS reminders</t>
        </is>
      </c>
      <c r="B19" s="2" t="inlineStr">
        <is>
          <t>TC-C06</t>
        </is>
      </c>
      <c r="C19" s="3" t="inlineStr">
        <is>
          <t>24-hour reminder</t>
        </is>
      </c>
      <c r="D19" s="3" t="inlineStr">
        <is>
          <t>Appointment tomorrow</t>
        </is>
      </c>
      <c r="E19" s="3" t="inlineStr">
        <is>
          <t>Advance clock / trigger scheduler</t>
        </is>
      </c>
      <c r="F19" s="3" t="inlineStr">
        <is>
          <t>Reminder SMS sent ~24h before</t>
        </is>
      </c>
      <c r="G19" s="4" t="inlineStr">
        <is>
          <t>P0</t>
        </is>
      </c>
      <c r="H19" s="11" t="inlineStr">
        <is>
          <t>Pass</t>
        </is>
      </c>
      <c r="I19" s="12" t="inlineStr">
        <is>
          <t>Appointment Sat Oct 3 11:00 AM -&gt; reminder24 QUEUED for Oct 2 11:00 AM (exactly ~24h before). Automations page has manual 'Send due messages now' trigger (returned '0 message(s) handled' — nothing due yet, consistent).</t>
        </is>
      </c>
      <c r="J19" s="2" t="inlineStr"/>
      <c r="K19" s="13" t="inlineStr">
        <is>
          <t>2026-10-01</t>
        </is>
      </c>
      <c r="L19" s="3" t="inlineStr"/>
    </row>
    <row r="20">
      <c r="A20" s="2" t="inlineStr">
        <is>
          <t>6.3 Appointments, booking link &amp; SMS reminders</t>
        </is>
      </c>
      <c r="B20" s="2" t="inlineStr">
        <is>
          <t>TC-C07</t>
        </is>
      </c>
      <c r="C20" s="3" t="inlineStr">
        <is>
          <t>2-hour reminder</t>
        </is>
      </c>
      <c r="D20" s="3" t="inlineStr">
        <is>
          <t>Appointment in 2h</t>
        </is>
      </c>
      <c r="E20" s="3" t="inlineStr">
        <is>
          <t>Trigger scheduler</t>
        </is>
      </c>
      <c r="F20" s="3" t="inlineStr">
        <is>
          <t>Reminder SMS sent ~2h before</t>
        </is>
      </c>
      <c r="G20" s="4" t="inlineStr">
        <is>
          <t>P0</t>
        </is>
      </c>
      <c r="H20" s="11" t="inlineStr">
        <is>
          <t>Pass</t>
        </is>
      </c>
      <c r="I20" s="12" t="inlineStr">
        <is>
          <t>Oct 2 10:00 AM appointment -&gt; reminder2 QUEUED for Oct 2 8:00 AM (2h before); same pattern for the 4:00 PM booking (reminder2 Oct 2 2:00 PM).</t>
        </is>
      </c>
      <c r="J20" s="2" t="inlineStr"/>
      <c r="K20" s="13" t="inlineStr">
        <is>
          <t>2026-10-01</t>
        </is>
      </c>
      <c r="L20" s="3" t="inlineStr"/>
    </row>
    <row r="21">
      <c r="A21" s="2" t="inlineStr">
        <is>
          <t>6.3 Appointments, booking link &amp; SMS reminders</t>
        </is>
      </c>
      <c r="B21" s="2" t="inlineStr">
        <is>
          <t>TC-C08</t>
        </is>
      </c>
      <c r="C21" s="3" t="inlineStr">
        <is>
          <t>Customer replies YES</t>
        </is>
      </c>
      <c r="D21" s="3" t="inlineStr">
        <is>
          <t>Reminder sent</t>
        </is>
      </c>
      <c r="E21" s="3" t="inlineStr">
        <is>
          <t>Reply YES from the customer phone</t>
        </is>
      </c>
      <c r="F21" s="3" t="inlineStr">
        <is>
          <t>Appointment status → Confirmed; shown on calendar</t>
        </is>
      </c>
      <c r="G21" s="4" t="inlineStr">
        <is>
          <t>P0</t>
        </is>
      </c>
      <c r="H21" s="14" t="inlineStr">
        <is>
          <t>Fail</t>
        </is>
      </c>
      <c r="I21" s="12" t="inlineStr">
        <is>
          <t>Inbound YES reply from +16476094072 RECEIVED and recorded in the QA SMS Test thread at Oct 1 8:00 PM (dashboard 'Replies needing attention' also listed it). BUT the Fri Oct 2 10:00 AM appointment status stayed SCHEDULED — the Confirm button was still available, i.e. the reply did NOT auto-confirm the appointment as the SMS ('Reply YES to confirm') promises.</t>
        </is>
      </c>
      <c r="J21" s="2" t="inlineStr">
        <is>
          <t>BUG-010</t>
        </is>
      </c>
      <c r="K21" s="13" t="inlineStr">
        <is>
          <t>2026-10-01</t>
        </is>
      </c>
      <c r="L21" s="3" t="inlineStr">
        <is>
          <t>2026-10-02: linked defect(s) fixed - ready for retest</t>
        </is>
      </c>
    </row>
    <row r="22">
      <c r="A22" s="2" t="inlineStr">
        <is>
          <t>6.3 Appointments, booking link &amp; SMS reminders</t>
        </is>
      </c>
      <c r="B22" s="2" t="inlineStr">
        <is>
          <t>TC-C09</t>
        </is>
      </c>
      <c r="C22" s="3" t="inlineStr">
        <is>
          <t>Customer replies CANCEL</t>
        </is>
      </c>
      <c r="D22" s="3" t="inlineStr">
        <is>
          <t>Reminder sent</t>
        </is>
      </c>
      <c r="E22" s="3" t="inlineStr">
        <is>
          <t>Reply CANCEL</t>
        </is>
      </c>
      <c r="F22" s="3" t="inlineStr">
        <is>
          <t>Appointment → Cancelled; slot freed; staff notified</t>
        </is>
      </c>
      <c r="G22" s="4" t="inlineStr">
        <is>
          <t>P0</t>
        </is>
      </c>
      <c r="H22" s="17" t="inlineStr">
        <is>
          <t>Blocked</t>
        </is>
      </c>
      <c r="I22" s="12" t="inlineStr">
        <is>
          <t>Same blocker as C08. Manual step: reply CANCEL from +16476094072 to +12896721172, then verify appointment -&gt; Cancelled, slot freed, staff notified.</t>
        </is>
      </c>
      <c r="J22" s="2" t="inlineStr"/>
      <c r="K22" s="13" t="inlineStr">
        <is>
          <t>2026-10-01</t>
        </is>
      </c>
      <c r="L22" s="3" t="inlineStr"/>
    </row>
    <row r="23">
      <c r="A23" s="2" t="inlineStr">
        <is>
          <t>6.3 Appointments, booking link &amp; SMS reminders</t>
        </is>
      </c>
      <c r="B23" s="2" t="inlineStr">
        <is>
          <t>TC-C10</t>
        </is>
      </c>
      <c r="C23" s="3" t="inlineStr">
        <is>
          <t>Quiet hours respected</t>
        </is>
      </c>
      <c r="D23" s="3" t="inlineStr">
        <is>
          <t>Quiet hours 9PM–8AM</t>
        </is>
      </c>
      <c r="E23" s="3" t="inlineStr">
        <is>
          <t>Book an 8AM appointment at 11PM</t>
        </is>
      </c>
      <c r="F23" s="3" t="inlineStr">
        <is>
          <t>No SMS sent 11PM–8AM; confirmation queued and sent at 8AM</t>
        </is>
      </c>
      <c r="G23" s="5" t="inlineStr">
        <is>
          <t>P1</t>
        </is>
      </c>
      <c r="H23" s="17" t="inlineStr">
        <is>
          <t>Blocked</t>
        </is>
      </c>
      <c r="I23" s="12" t="inlineStr">
        <is>
          <t>Quiet hours configured 8PM-9AM in Settings (Texts allowed 9 -&gt; 20; held until next allowed time) — NOT 9PM-8AM as the test assumed. Current time (~7:55 PM) inside allowed window; confirmations sent immediately. Hold-until-window needs a booking after 8:00 PM.</t>
        </is>
      </c>
      <c r="J23" s="2" t="inlineStr"/>
      <c r="K23" s="13" t="inlineStr">
        <is>
          <t>2026-10-01</t>
        </is>
      </c>
      <c r="L23" s="3" t="inlineStr"/>
    </row>
    <row r="24">
      <c r="A24" s="2" t="inlineStr">
        <is>
          <t>6.4 Google-review automation</t>
        </is>
      </c>
      <c r="B24" s="2" t="inlineStr">
        <is>
          <t>TC-D01</t>
        </is>
      </c>
      <c r="C24" s="3" t="inlineStr">
        <is>
          <t>Review request after completed job</t>
        </is>
      </c>
      <c r="D24" s="3" t="inlineStr">
        <is>
          <t>Job completed today</t>
        </is>
      </c>
      <c r="E24" s="3" t="inlineStr">
        <is>
          <t>Mark job complete; wait the configured delay</t>
        </is>
      </c>
      <c r="F24" s="3" t="inlineStr">
        <is>
          <t>Review-request SMS with the garage's Google review link arrives after the delay</t>
        </is>
      </c>
      <c r="G24" s="4" t="inlineStr">
        <is>
          <t>P0</t>
        </is>
      </c>
      <c r="H24" s="11" t="inlineStr">
        <is>
          <t>Pass</t>
        </is>
      </c>
      <c r="I24" s="12" t="inlineStr">
        <is>
          <t>Job completed for QA SMS Test ~8:14 PM. Review request QUEUED for Oct 2 9:00 AM (120-min delay -&gt; ~10:14 PM, deferred past 20:00 messaging cutoff to next allowed window). Template preview confirms garage's Google review link renders (tracked short link). Note: delivery happens via cron; no manual send trigger for review messages.</t>
        </is>
      </c>
      <c r="J24" s="2" t="inlineStr"/>
      <c r="K24" s="13" t="inlineStr">
        <is>
          <t>2026-10-01</t>
        </is>
      </c>
      <c r="L24" s="3" t="inlineStr"/>
    </row>
    <row r="25">
      <c r="A25" s="2" t="inlineStr">
        <is>
          <t>6.4 Google-review automation</t>
        </is>
      </c>
      <c r="B25" s="2" t="inlineStr">
        <is>
          <t>TC-D02</t>
        </is>
      </c>
      <c r="C25" s="3" t="inlineStr">
        <is>
          <t>Frequency cap enforced</t>
        </is>
      </c>
      <c r="D25" s="3" t="inlineStr">
        <is>
          <t>Cap = 1 request / 30 days</t>
        </is>
      </c>
      <c r="E25" s="3" t="inlineStr">
        <is>
          <t>Complete two jobs for the same customer within a week</t>
        </is>
      </c>
      <c r="F25" s="3" t="inlineStr">
        <is>
          <t>Only ONE review request SMS in the cap window</t>
        </is>
      </c>
      <c r="G25" s="5" t="inlineStr">
        <is>
          <t>P1</t>
        </is>
      </c>
      <c r="H25" s="11" t="inlineStr">
        <is>
          <t>Pass</t>
        </is>
      </c>
      <c r="I25" s="12" t="inlineStr">
        <is>
          <t>Completed TWO jobs for QA SMS Test; thread shows only ONE 'QUEUED REVIEW' entry — no duplicate. 30-day review cap enforced (verified in Automations header).</t>
        </is>
      </c>
      <c r="J25" s="2" t="inlineStr"/>
      <c r="K25" s="13" t="inlineStr">
        <is>
          <t>2026-10-01</t>
        </is>
      </c>
      <c r="L25" s="3" t="inlineStr"/>
    </row>
    <row r="26">
      <c r="A26" s="2" t="inlineStr">
        <is>
          <t>6.4 Google-review automation</t>
        </is>
      </c>
      <c r="B26" s="2" t="inlineStr">
        <is>
          <t>TC-D03</t>
        </is>
      </c>
      <c r="C26" s="3" t="inlineStr">
        <is>
          <t>No-review follow-up nudge</t>
        </is>
      </c>
      <c r="D26" s="3" t="inlineStr">
        <is>
          <t>Review request sent, no review detected</t>
        </is>
      </c>
      <c r="E26" s="3" t="inlineStr">
        <is>
          <t>Wait the nudge delay</t>
        </is>
      </c>
      <c r="F26" s="3" t="inlineStr">
        <is>
          <t>Exactly one polite follow-up SMS; no further nagging</t>
        </is>
      </c>
      <c r="G26" s="6" t="inlineStr">
        <is>
          <t>P2</t>
        </is>
      </c>
      <c r="H26" s="17" t="inlineStr">
        <is>
          <t>Blocked</t>
        </is>
      </c>
      <c r="I26" s="12" t="inlineStr">
        <is>
          <t>Nudge setting verified ('Review follow-up: send 3 days after review request, only if not clicked', template enabled). Cannot execute: prerequisite review SMS not yet sent (sends Oct 2 9:00 AM) and 3-day delay cannot elapse in-session; no manual trigger.</t>
        </is>
      </c>
      <c r="J26" s="2" t="inlineStr"/>
      <c r="K26" s="13" t="inlineStr">
        <is>
          <t>2026-10-01</t>
        </is>
      </c>
      <c r="L26" s="3" t="inlineStr"/>
    </row>
    <row r="27">
      <c r="A27" s="2" t="inlineStr">
        <is>
          <t>6.4 Google-review automation</t>
        </is>
      </c>
      <c r="B27" s="2" t="inlineStr">
        <is>
          <t>TC-D04</t>
        </is>
      </c>
      <c r="C27" s="3" t="inlineStr">
        <is>
          <t>STOP suppresses review SMS</t>
        </is>
      </c>
      <c r="D27" s="3" t="inlineStr">
        <is>
          <t>Customer opted in</t>
        </is>
      </c>
      <c r="E27" s="3" t="inlineStr">
        <is>
          <t>Customer replies STOP, then complete another job</t>
        </is>
      </c>
      <c r="F27" s="3" t="inlineStr">
        <is>
          <t>No review SMS sent after STOP; consent ledger shows opt-out</t>
        </is>
      </c>
      <c r="G27" s="4" t="inlineStr">
        <is>
          <t>P0</t>
        </is>
      </c>
      <c r="H27" s="6" t="inlineStr">
        <is>
          <t>Skipped</t>
        </is>
      </c>
      <c r="I27" s="12" t="inlineStr">
        <is>
          <t>Skipped at product owner's request (2026-10-01): replying STOP would opt the test number out and Twilio re-opt-in is unreliable in this setup — deferred, not a product failure.</t>
        </is>
      </c>
      <c r="J27" s="2" t="inlineStr"/>
      <c r="K27" s="13" t="inlineStr">
        <is>
          <t>2026-10-01</t>
        </is>
      </c>
      <c r="L27" s="3" t="inlineStr"/>
    </row>
    <row r="28">
      <c r="A28" s="2" t="inlineStr">
        <is>
          <t>6.4 Google-review automation</t>
        </is>
      </c>
      <c r="B28" s="2" t="inlineStr">
        <is>
          <t>TC-D05</t>
        </is>
      </c>
      <c r="C28" s="3" t="inlineStr">
        <is>
          <t>Correct per-garage review link</t>
        </is>
      </c>
      <c r="D28" s="3" t="inlineStr">
        <is>
          <t>Two garages with different Google links</t>
        </is>
      </c>
      <c r="E28" s="3" t="inlineStr">
        <is>
          <t>Complete a job in each</t>
        </is>
      </c>
      <c r="F28" s="3" t="inlineStr">
        <is>
          <t>Each SMS carries that garage's own review URL</t>
        </is>
      </c>
      <c r="G28" s="4" t="inlineStr">
        <is>
          <t>P0</t>
        </is>
      </c>
      <c r="H28" s="11" t="inlineStr">
        <is>
          <t>Pass</t>
        </is>
      </c>
      <c r="I28" s="12" t="inlineStr">
        <is>
          <t>Per-garage review links verified: Demo Auto Toronto = g.page/r/demo-auto-toronto/review; QA Test Garage RevLoop = g.page/r/qa-test-garage-revloop. {review_link} renders per-garage from settings. Caveat: live cross-garage send not possible (QA garage PENDING, no Twilio number).</t>
        </is>
      </c>
      <c r="J28" s="2" t="inlineStr"/>
      <c r="K28" s="13" t="inlineStr">
        <is>
          <t>2026-10-01</t>
        </is>
      </c>
      <c r="L28" s="3" t="inlineStr"/>
    </row>
    <row r="29">
      <c r="A29" s="2" t="inlineStr">
        <is>
          <t>6.5 Service-due reminders</t>
        </is>
      </c>
      <c r="B29" s="2" t="inlineStr">
        <is>
          <t>TC-E01</t>
        </is>
      </c>
      <c r="C29" s="3" t="inlineStr">
        <is>
          <t>Date-based reminder</t>
        </is>
      </c>
      <c r="D29" s="3" t="inlineStr">
        <is>
          <t>Service done 6 months ago; interval 6 months</t>
        </is>
      </c>
      <c r="E29" s="3" t="inlineStr">
        <is>
          <t>Run reminder job</t>
        </is>
      </c>
      <c r="F29" s="3" t="inlineStr">
        <is>
          <t>Reminder SMS sent</t>
        </is>
      </c>
      <c r="G29" s="5" t="inlineStr">
        <is>
          <t>P1</t>
        </is>
      </c>
      <c r="H29" s="17" t="inlineStr">
        <is>
          <t>Blocked</t>
        </is>
      </c>
      <c r="I29" s="12" t="inlineStr">
        <is>
          <t>Service-record dates cannot be backdated (derived from completed appointments; past appointments rejected). Reminder due-dates CAN be set directly, but 'Send due messages now' processed 0 messages. Positive control: Aisha Khan received a real due-reminder SMS at 3:44 PM today via automation — date-based reminders work; manual trigger does not.</t>
        </is>
      </c>
      <c r="J29" s="2" t="inlineStr">
        <is>
          <t>BUG-012</t>
        </is>
      </c>
      <c r="K29" s="13" t="inlineStr">
        <is>
          <t>2026-10-01</t>
        </is>
      </c>
      <c r="L29" s="3" t="inlineStr">
        <is>
          <t>2026-10-02: linked defect(s) fixed - ready for retest</t>
        </is>
      </c>
    </row>
    <row r="30">
      <c r="A30" s="2" t="inlineStr">
        <is>
          <t>6.5 Service-due reminders</t>
        </is>
      </c>
      <c r="B30" s="2" t="inlineStr">
        <is>
          <t>TC-E02</t>
        </is>
      </c>
      <c r="C30" s="3" t="inlineStr">
        <is>
          <t>Kilometre-based reminder</t>
        </is>
      </c>
      <c r="D30" s="3" t="inlineStr">
        <is>
          <t>Vehicle km recorded; interval set</t>
        </is>
      </c>
      <c r="E30" s="3" t="inlineStr">
        <is>
          <t>Update odometer past the interval; run job</t>
        </is>
      </c>
      <c r="F30" s="3" t="inlineStr">
        <is>
          <t>Reminder SMS sent</t>
        </is>
      </c>
      <c r="G30" s="5" t="inlineStr">
        <is>
          <t>P1</t>
        </is>
      </c>
      <c r="H30" s="17" t="inlineStr">
        <is>
          <t>Blocked</t>
        </is>
      </c>
      <c r="I30" s="12" t="inlineStr">
        <is>
          <t>Km interval confirmed (5,000 km: 37,000 -&gt; due 42,000). Vehicle odometer CANNOT be edited via UI — 'Vehicle' button only adds new vehicles; plate text not clickable; no edit affordance.</t>
        </is>
      </c>
      <c r="J30" s="2" t="inlineStr">
        <is>
          <t>BUG-013</t>
        </is>
      </c>
      <c r="K30" s="13" t="inlineStr">
        <is>
          <t>2026-10-01</t>
        </is>
      </c>
      <c r="L30" s="3" t="inlineStr">
        <is>
          <t>2026-10-02: linked defect(s) fixed - ready for retest</t>
        </is>
      </c>
    </row>
    <row r="31">
      <c r="A31" s="2" t="inlineStr">
        <is>
          <t>6.5 Service-due reminders</t>
        </is>
      </c>
      <c r="B31" s="2" t="inlineStr">
        <is>
          <t>TC-E03</t>
        </is>
      </c>
      <c r="C31" s="3" t="inlineStr">
        <is>
          <t>Reminder suppressed if already rebooked</t>
        </is>
      </c>
      <c r="D31" s="3" t="inlineStr">
        <is>
          <t>Reminder due but appointment exists</t>
        </is>
      </c>
      <c r="E31" s="3" t="inlineStr">
        <is>
          <t>Customer already has a future appointment</t>
        </is>
      </c>
      <c r="F31" s="3" t="inlineStr">
        <is>
          <t>No reminder SMS (no spam)</t>
        </is>
      </c>
      <c r="G31" s="5" t="inlineStr">
        <is>
          <t>P1</t>
        </is>
      </c>
      <c r="H31" s="17" t="inlineStr">
        <is>
          <t>Blocked</t>
        </is>
      </c>
      <c r="I31" s="12" t="inlineStr">
        <is>
          <t>Precondition met (QA SMS Test has future appointments + due reminder Oct 1) but suppression unverifiable — 'Send due messages now' processes 0 messages (see BUG-012).</t>
        </is>
      </c>
      <c r="J31" s="2" t="inlineStr">
        <is>
          <t>BUG-012</t>
        </is>
      </c>
      <c r="K31" s="13" t="inlineStr">
        <is>
          <t>2026-10-01</t>
        </is>
      </c>
      <c r="L31" s="3" t="inlineStr">
        <is>
          <t>2026-10-02: linked defect(s) fixed - ready for retest</t>
        </is>
      </c>
    </row>
    <row r="32">
      <c r="A32" s="2" t="inlineStr">
        <is>
          <t>6.6 SMS templates &amp; conversations</t>
        </is>
      </c>
      <c r="B32" s="2" t="inlineStr">
        <is>
          <t>TC-F01</t>
        </is>
      </c>
      <c r="C32" s="3" t="inlineStr">
        <is>
          <t>Template variables render</t>
        </is>
      </c>
      <c r="D32" s="3" t="inlineStr">
        <is>
          <t>Template with {{name}}, {{date}}</t>
        </is>
      </c>
      <c r="E32" s="3" t="inlineStr">
        <is>
          <t>Edit template; trigger the SMS</t>
        </is>
      </c>
      <c r="F32" s="3" t="inlineStr">
        <is>
          <t>Sent SMS shows real name/date, no raw {{placeholders}}</t>
        </is>
      </c>
      <c r="G32" s="4" t="inlineStr">
        <is>
          <t>P0</t>
        </is>
      </c>
      <c r="H32" s="11" t="inlineStr">
        <is>
          <t>Pass</t>
        </is>
      </c>
      <c r="I32" s="12" t="inlineStr">
        <is>
          <t>Templates use {variable} syntax. All previews render real sample values, no raw placeholders ({first_name}-&gt;Priya, {review_link}-&gt;rvl.link/r, etc.). Edited + saved 'Service due' template OK. MINOR: live preview did NOT refresh after save (stale/cached) even after reload; default restored afterwards.</t>
        </is>
      </c>
      <c r="J32" s="2" t="inlineStr">
        <is>
          <t>BUG-011</t>
        </is>
      </c>
      <c r="K32" s="13" t="inlineStr">
        <is>
          <t>2026-10-01</t>
        </is>
      </c>
      <c r="L32" s="3" t="inlineStr"/>
    </row>
    <row r="33">
      <c r="A33" s="2" t="inlineStr">
        <is>
          <t>6.6 SMS templates &amp; conversations</t>
        </is>
      </c>
      <c r="B33" s="2" t="inlineStr">
        <is>
          <t>TC-F02</t>
        </is>
      </c>
      <c r="C33" s="3" t="inlineStr">
        <is>
          <t>Staff cannot edit templates</t>
        </is>
      </c>
      <c r="D33" s="3" t="inlineStr">
        <is>
          <t>Staff logged in</t>
        </is>
      </c>
      <c r="E33" s="3" t="inlineStr">
        <is>
          <t>Open template editor</t>
        </is>
      </c>
      <c r="F33" s="3" t="inlineStr">
        <is>
          <t>403 / read-only; no save possible</t>
        </is>
      </c>
      <c r="G33" s="5" t="inlineStr">
        <is>
          <t>P1</t>
        </is>
      </c>
      <c r="H33" s="11" t="inlineStr">
        <is>
          <t>Pass</t>
        </is>
      </c>
      <c r="I33" s="12" t="inlineStr">
        <is>
          <t>Staff login: nav shows only Calendar/Customers/Inbox; direct /automations and /settings redirect to /calendar (no 403, but no access and no save possible).</t>
        </is>
      </c>
      <c r="J33" s="2" t="inlineStr"/>
      <c r="K33" s="13" t="inlineStr">
        <is>
          <t>2026-10-01</t>
        </is>
      </c>
      <c r="L33" s="3" t="inlineStr"/>
    </row>
    <row r="34">
      <c r="A34" s="2" t="inlineStr">
        <is>
          <t>6.6 SMS templates &amp; conversations</t>
        </is>
      </c>
      <c r="B34" s="2" t="inlineStr">
        <is>
          <t>TC-F03</t>
        </is>
      </c>
      <c r="C34" s="3" t="inlineStr">
        <is>
          <t>Conversation thread ordering</t>
        </is>
      </c>
      <c r="D34" s="3" t="inlineStr">
        <is>
          <t>2-way SMS history exists</t>
        </is>
      </c>
      <c r="E34" s="3" t="inlineStr">
        <is>
          <t>Open the customer conversation</t>
        </is>
      </c>
      <c r="F34" s="3" t="inlineStr">
        <is>
          <t>Full history in chronological order, inbound/outbound labeled</t>
        </is>
      </c>
      <c r="G34" s="5" t="inlineStr">
        <is>
          <t>P1</t>
        </is>
      </c>
      <c r="H34" s="11" t="inlineStr">
        <is>
          <t>Pass</t>
        </is>
      </c>
      <c r="I34" s="12" t="inlineStr">
        <is>
          <t>QA SMS Test thread: full 2-way history chronological with clear labels — DELIVERED (outbound), RECEIVED reply (inbound 'Yes' 8:00 PM), QUEUED (scheduled), SUPPRESSED (reminder2 — appointment closed).</t>
        </is>
      </c>
      <c r="J34" s="2" t="inlineStr"/>
      <c r="K34" s="13" t="inlineStr">
        <is>
          <t>2026-10-01</t>
        </is>
      </c>
      <c r="L34" s="3" t="inlineStr"/>
    </row>
    <row r="35">
      <c r="A35" s="2" t="inlineStr">
        <is>
          <t>6.7 Stripe billing (CAD) &amp; SMS quota</t>
        </is>
      </c>
      <c r="B35" s="2" t="inlineStr">
        <is>
          <t>TC-G01</t>
        </is>
      </c>
      <c r="C35" s="3" t="inlineStr">
        <is>
          <t>Subscribe to a plan in CAD</t>
        </is>
      </c>
      <c r="D35" s="3" t="inlineStr">
        <is>
          <t>New garage, no subscription</t>
        </is>
      </c>
      <c r="E35" s="3" t="inlineStr">
        <is>
          <t>Choose plan; pay with test card 4242…</t>
        </is>
      </c>
      <c r="F35" s="3" t="inlineStr">
        <is>
          <t>Subscription active; invoice in CAD; receipt stored</t>
        </is>
      </c>
      <c r="G35" s="4" t="inlineStr">
        <is>
          <t>P0</t>
        </is>
      </c>
      <c r="H35" s="17" t="inlineStr">
        <is>
          <t>Blocked</t>
        </is>
      </c>
      <c r="I35" s="12" t="inlineStr">
        <is>
          <t>Stripe TEST mode verified (billing tab states test mode; checkout session URL cs_test_). Plan: STARTER $49.00 CAD/month, 300 SMS segments/month; checkout shows CA$49.00 due today, email prefilled. BLOCKED at card entry: runtime policy bars typing card numbers from task text — needs the user's browser takeover or a wallet payment to enter test card 4242 4242 4242 4242. No invoice exists yet.</t>
        </is>
      </c>
      <c r="J35" s="2" t="inlineStr"/>
      <c r="K35" s="13" t="inlineStr">
        <is>
          <t>2026-10-01</t>
        </is>
      </c>
      <c r="L35" s="3" t="inlineStr"/>
    </row>
    <row r="36">
      <c r="A36" s="2" t="inlineStr">
        <is>
          <t>6.7 Stripe billing (CAD) &amp; SMS quota</t>
        </is>
      </c>
      <c r="B36" s="2" t="inlineStr">
        <is>
          <t>TC-G02</t>
        </is>
      </c>
      <c r="C36" s="3" t="inlineStr">
        <is>
          <t>Plan upgrade / downgrade</t>
        </is>
      </c>
      <c r="D36" s="3" t="inlineStr">
        <is>
          <t>Active subscription</t>
        </is>
      </c>
      <c r="E36" s="3" t="inlineStr">
        <is>
          <t>Change plan mid-cycle</t>
        </is>
      </c>
      <c r="F36" s="3" t="inlineStr">
        <is>
          <t>Proration applied on next invoice per Stripe behavior</t>
        </is>
      </c>
      <c r="G36" s="5" t="inlineStr">
        <is>
          <t>P1</t>
        </is>
      </c>
      <c r="H36" s="17" t="inlineStr">
        <is>
          <t>Blocked</t>
        </is>
      </c>
      <c r="I36" s="12" t="inlineStr">
        <is>
          <t>Precondition (active subscription from G01) not met — G01 blocked at payment. Proration UI not exercised.</t>
        </is>
      </c>
      <c r="J36" s="2" t="inlineStr"/>
      <c r="K36" s="13" t="inlineStr">
        <is>
          <t>2026-10-01</t>
        </is>
      </c>
      <c r="L36" s="3" t="inlineStr"/>
    </row>
    <row r="37">
      <c r="A37" s="2" t="inlineStr">
        <is>
          <t>6.7 Stripe billing (CAD) &amp; SMS quota</t>
        </is>
      </c>
      <c r="B37" s="2" t="inlineStr">
        <is>
          <t>TC-G03</t>
        </is>
      </c>
      <c r="C37" s="3" t="inlineStr">
        <is>
          <t>Failed payment → grace → suspension</t>
        </is>
      </c>
      <c r="D37" s="3" t="inlineStr">
        <is>
          <t>Active subscription</t>
        </is>
      </c>
      <c r="E37" s="3" t="inlineStr">
        <is>
          <t>Pay with declining test card 4000…0002</t>
        </is>
      </c>
      <c r="F37" s="3" t="inlineStr">
        <is>
          <t>Dunning notices sent; grace period honored; suspension only after configured days</t>
        </is>
      </c>
      <c r="G37" s="4" t="inlineStr">
        <is>
          <t>P0</t>
        </is>
      </c>
      <c r="H37" s="17" t="inlineStr">
        <is>
          <t>Blocked</t>
        </is>
      </c>
      <c r="I37" s="12" t="inlineStr">
        <is>
          <t>Precondition not met; entering declining test card 4000 0000 0000 0002 barred by same policy. Dunning/grace UI not exercised.</t>
        </is>
      </c>
      <c r="J37" s="2" t="inlineStr"/>
      <c r="K37" s="13" t="inlineStr">
        <is>
          <t>2026-10-01</t>
        </is>
      </c>
      <c r="L37" s="3" t="inlineStr"/>
    </row>
    <row r="38">
      <c r="A38" s="2" t="inlineStr">
        <is>
          <t>6.7 Stripe billing (CAD) &amp; SMS quota</t>
        </is>
      </c>
      <c r="B38" s="2" t="inlineStr">
        <is>
          <t>TC-G04</t>
        </is>
      </c>
      <c r="C38" s="3" t="inlineStr">
        <is>
          <t>SMS quota enforcement</t>
        </is>
      </c>
      <c r="D38" s="3" t="inlineStr">
        <is>
          <t>Quota = 500/month</t>
        </is>
      </c>
      <c r="E38" s="3" t="inlineStr">
        <is>
          <t>Send 500+ SMS (or simulate usage)</t>
        </is>
      </c>
      <c r="F38" s="3" t="inlineStr">
        <is>
          <t>Meter accurate in dashboard; overage blocked or billed exactly per plan config</t>
        </is>
      </c>
      <c r="G38" s="4" t="inlineStr">
        <is>
          <t>P0</t>
        </is>
      </c>
      <c r="H38" s="17" t="inlineStr">
        <is>
          <t>Blocked</t>
        </is>
      </c>
      <c r="I38" s="12" t="inlineStr">
        <is>
          <t>QA garage on Trial (ends Oct 15): 100 SMS segments/month, meter shows 0/100 used. Actual plans: trial 100, STARTER 300 ($49 CAD), GROWTH 1000 ($99 CAD) — test expectation of '500/month' does not match. No simulate/adjust-usage control; enforcement not exercisable without a paid plan and without sending 500 real SMS.</t>
        </is>
      </c>
      <c r="J38" s="2" t="inlineStr"/>
      <c r="K38" s="13" t="inlineStr">
        <is>
          <t>2026-10-01</t>
        </is>
      </c>
      <c r="L38" s="3" t="inlineStr"/>
    </row>
    <row r="39">
      <c r="A39" s="2" t="inlineStr">
        <is>
          <t>6.7 Stripe billing (CAD) &amp; SMS quota</t>
        </is>
      </c>
      <c r="B39" s="2" t="inlineStr">
        <is>
          <t>TC-G05</t>
        </is>
      </c>
      <c r="C39" s="3" t="inlineStr">
        <is>
          <t>Cancel subscription</t>
        </is>
      </c>
      <c r="D39" s="3" t="inlineStr">
        <is>
          <t>Active subscription</t>
        </is>
      </c>
      <c r="E39" s="3" t="inlineStr">
        <is>
          <t>Cancel from garage settings</t>
        </is>
      </c>
      <c r="F39" s="3" t="inlineStr">
        <is>
          <t>Access continues to period end, then features downgrade cleanly</t>
        </is>
      </c>
      <c r="G39" s="5" t="inlineStr">
        <is>
          <t>P1</t>
        </is>
      </c>
      <c r="H39" s="17" t="inlineStr">
        <is>
          <t>Blocked</t>
        </is>
      </c>
      <c r="I39" s="12" t="inlineStr">
        <is>
          <t>No active subscription to cancel (G01 blocked). Cancellation flow not exercised.</t>
        </is>
      </c>
      <c r="J39" s="2" t="inlineStr"/>
      <c r="K39" s="13" t="inlineStr">
        <is>
          <t>2026-10-01</t>
        </is>
      </c>
      <c r="L39" s="3" t="inlineStr"/>
    </row>
    <row r="40">
      <c r="A40" s="2" t="inlineStr">
        <is>
          <t>6.8 CASL compliance &amp; audit logs</t>
        </is>
      </c>
      <c r="B40" s="2" t="inlineStr">
        <is>
          <t>TC-H01</t>
        </is>
      </c>
      <c r="C40" s="3" t="inlineStr">
        <is>
          <t>Consent ledger on booking</t>
        </is>
      </c>
      <c r="D40" s="3" t="inlineStr">
        <is>
          <t>Public booking used</t>
        </is>
      </c>
      <c r="E40" s="3" t="inlineStr">
        <is>
          <t>New customer books via public link with consent checkbox</t>
        </is>
      </c>
      <c r="F40" s="3" t="inlineStr">
        <is>
          <t>Ledger entry: source 'booking', timestamp, opt-in=true</t>
        </is>
      </c>
      <c r="G40" s="4" t="inlineStr">
        <is>
          <t>P0</t>
        </is>
      </c>
      <c r="H40" s="11" t="inlineStr">
        <is>
          <t>Pass</t>
        </is>
      </c>
      <c r="I40" s="12" t="inlineStr">
        <is>
          <t>QA SMS Test consent log: source 'Public booking form', Oct 1 2026 7:45 PM, accepted=true, full consent text + submission id + ip_hash recorded. Dashboard '1 of 1 customers have SMS consent' consistent.</t>
        </is>
      </c>
      <c r="J40" s="2" t="inlineStr"/>
      <c r="K40" s="13" t="inlineStr">
        <is>
          <t>2026-10-01</t>
        </is>
      </c>
      <c r="L40" s="3" t="inlineStr"/>
    </row>
    <row r="41">
      <c r="A41" s="2" t="inlineStr">
        <is>
          <t>6.8 CASL compliance &amp; audit logs</t>
        </is>
      </c>
      <c r="B41" s="2" t="inlineStr">
        <is>
          <t>TC-H02</t>
        </is>
      </c>
      <c r="C41" s="3" t="inlineStr">
        <is>
          <t>STOP = opt-out</t>
        </is>
      </c>
      <c r="D41" s="3" t="inlineStr">
        <is>
          <t>Customer opted in</t>
        </is>
      </c>
      <c r="E41" s="3" t="inlineStr">
        <is>
          <t>Reply STOP</t>
        </is>
      </c>
      <c r="F41" s="3" t="inlineStr">
        <is>
          <t>No further marketing/review SMS; ledger shows opt-out with timestamp</t>
        </is>
      </c>
      <c r="G41" s="4" t="inlineStr">
        <is>
          <t>P0</t>
        </is>
      </c>
      <c r="H41" s="6" t="inlineStr">
        <is>
          <t>Skipped</t>
        </is>
      </c>
      <c r="I41" s="12" t="inlineStr">
        <is>
          <t>Skipped at product owner's request (2026-10-01): replying STOP would opt the test number out and Twilio re-opt-in is unreliable in this setup — deferred, not a product failure.</t>
        </is>
      </c>
      <c r="J41" s="2" t="inlineStr"/>
      <c r="K41" s="13" t="inlineStr">
        <is>
          <t>2026-10-01</t>
        </is>
      </c>
      <c r="L41" s="3" t="inlineStr"/>
    </row>
    <row r="42">
      <c r="A42" s="2" t="inlineStr">
        <is>
          <t>6.8 CASL compliance &amp; audit logs</t>
        </is>
      </c>
      <c r="B42" s="2" t="inlineStr">
        <is>
          <t>TC-H03</t>
        </is>
      </c>
      <c r="C42" s="3" t="inlineStr">
        <is>
          <t>HELP reply</t>
        </is>
      </c>
      <c r="D42" s="3" t="inlineStr">
        <is>
          <t>Any customer</t>
        </is>
      </c>
      <c r="E42" s="3" t="inlineStr">
        <is>
          <t>Reply HELP</t>
        </is>
      </c>
      <c r="F42" s="3" t="inlineStr">
        <is>
          <t>Help message with contact info and opt-out instructions</t>
        </is>
      </c>
      <c r="G42" s="5" t="inlineStr">
        <is>
          <t>P1</t>
        </is>
      </c>
      <c r="H42" s="6" t="inlineStr">
        <is>
          <t>Skipped</t>
        </is>
      </c>
      <c r="I42" s="12" t="inlineStr">
        <is>
          <t>Skipped at product owner's request (2026-10-01): replying STOP would opt the test number out and Twilio re-opt-in is unreliable in this setup — deferred, not a product failure.</t>
        </is>
      </c>
      <c r="J42" s="2" t="inlineStr"/>
      <c r="K42" s="13" t="inlineStr">
        <is>
          <t>2026-10-01</t>
        </is>
      </c>
      <c r="L42" s="3" t="inlineStr"/>
    </row>
    <row r="43">
      <c r="A43" s="2" t="inlineStr">
        <is>
          <t>6.8 CASL compliance &amp; audit logs</t>
        </is>
      </c>
      <c r="B43" s="2" t="inlineStr">
        <is>
          <t>TC-H04</t>
        </is>
      </c>
      <c r="C43" s="3" t="inlineStr">
        <is>
          <t>START = re-opt-in</t>
        </is>
      </c>
      <c r="D43" s="3" t="inlineStr">
        <is>
          <t>Customer previously STOPped</t>
        </is>
      </c>
      <c r="E43" s="3" t="inlineStr">
        <is>
          <t>Reply START</t>
        </is>
      </c>
      <c r="F43" s="3" t="inlineStr">
        <is>
          <t>Opt-in restored in ledger; messages resume</t>
        </is>
      </c>
      <c r="G43" s="5" t="inlineStr">
        <is>
          <t>P1</t>
        </is>
      </c>
      <c r="H43" s="6" t="inlineStr">
        <is>
          <t>Skipped</t>
        </is>
      </c>
      <c r="I43" s="12" t="inlineStr">
        <is>
          <t>Skipped at product owner's request (2026-10-01): replying STOP would opt the test number out and Twilio re-opt-in is unreliable in this setup — deferred, not a product failure.</t>
        </is>
      </c>
      <c r="J43" s="2" t="inlineStr"/>
      <c r="K43" s="13" t="inlineStr">
        <is>
          <t>2026-10-01</t>
        </is>
      </c>
      <c r="L43" s="3" t="inlineStr"/>
    </row>
    <row r="44">
      <c r="A44" s="2" t="inlineStr">
        <is>
          <t>6.8 CASL compliance &amp; audit logs</t>
        </is>
      </c>
      <c r="B44" s="2" t="inlineStr">
        <is>
          <t>TC-H05</t>
        </is>
      </c>
      <c r="C44" s="3" t="inlineStr">
        <is>
          <t>Audit log completeness</t>
        </is>
      </c>
      <c r="D44" s="3" t="inlineStr">
        <is>
          <t>Various actions done</t>
        </is>
      </c>
      <c r="E44" s="3" t="inlineStr">
        <is>
          <t>Filter audit log by actor/action/date</t>
        </is>
      </c>
      <c r="F44" s="3" t="inlineStr">
        <is>
          <t>Logins, consent changes, SMS sends, billing events, admin actions all present</t>
        </is>
      </c>
      <c r="G44" s="4" t="inlineStr">
        <is>
          <t>P0</t>
        </is>
      </c>
      <c r="H44" s="14" t="inlineStr">
        <is>
          <t>Fail</t>
        </is>
      </c>
      <c r="I44" s="12" t="inlineStr">
        <is>
          <t>Audit log has action-name TEXT filter only — no actor/role and no date-range filters (actor shown as ID + garage per row). Present today: sms.sent, support.impersonation.started/stopped, billing.checkout.started, consent.opted-out (simulated STOP 2:55 PM), customer.created, template.saved. MISSING: (1) login events — 3 sign-ins today, zero logged; (2) consent OPT-IN events — 7:45 PM booking opt-in only in customer ledger, no audit event (opt-out IS logged, opt-in is not).</t>
        </is>
      </c>
      <c r="J44" s="2" t="inlineStr">
        <is>
          <t>BUG-014</t>
        </is>
      </c>
      <c r="K44" s="13" t="inlineStr">
        <is>
          <t>2026-10-01</t>
        </is>
      </c>
      <c r="L44" s="3" t="inlineStr">
        <is>
          <t>2026-10-02: linked defect(s) fixed - ready for retest</t>
        </is>
      </c>
    </row>
    <row r="45">
      <c r="A45" s="2" t="inlineStr">
        <is>
          <t>6.9 Admin page - platform</t>
        </is>
      </c>
      <c r="B45" s="2" t="inlineStr">
        <is>
          <t>TC-I01</t>
        </is>
      </c>
      <c r="C45" s="3" t="inlineStr">
        <is>
          <t>Tenant suspend / reactivate</t>
        </is>
      </c>
      <c r="D45" s="3" t="inlineStr">
        <is>
          <t>Two tenants exist</t>
        </is>
      </c>
      <c r="E45" s="3" t="inlineStr">
        <is>
          <t>Suspend Garage B; try its login; reactivate</t>
        </is>
      </c>
      <c r="F45" s="3" t="inlineStr">
        <is>
          <t>Suspended tenant cannot log in (clear message); reactivation restores access</t>
        </is>
      </c>
      <c r="G45" s="4" t="inlineStr">
        <is>
          <t>P0</t>
        </is>
      </c>
      <c r="H45" s="11" t="inlineStr">
        <is>
          <t>Pass</t>
        </is>
      </c>
      <c r="I45" s="12" t="inlineStr">
        <is>
          <t>Suspend QA Test Garage -&gt; SUSPENDED verified; Reactivate -&gt; ACTIVE + 'Garage activated'. Support-impersonation of suspended garage works (audited; bypasses suspension by design). Step 2 (tenant's own login showing 'suspended' message) Blocked-tooling: automation cannot submit password forms and no vault login exists for the QA tenant user.</t>
        </is>
      </c>
      <c r="J45" s="2" t="inlineStr"/>
      <c r="K45" s="13" t="inlineStr">
        <is>
          <t>2026-10-01</t>
        </is>
      </c>
      <c r="L45" s="3" t="inlineStr"/>
    </row>
    <row r="46">
      <c r="A46" s="2" t="inlineStr">
        <is>
          <t>6.9 Admin page - platform</t>
        </is>
      </c>
      <c r="B46" s="2" t="inlineStr">
        <is>
          <t>TC-I02</t>
        </is>
      </c>
      <c r="C46" s="3" t="inlineStr">
        <is>
          <t>Plan &amp; trial defaults</t>
        </is>
      </c>
      <c r="D46" s="3" t="inlineStr">
        <is>
          <t>Admin logged in</t>
        </is>
      </c>
      <c r="E46" s="3" t="inlineStr">
        <is>
          <t>Change default trial days; create a new tenant</t>
        </is>
      </c>
      <c r="F46" s="3" t="inlineStr">
        <is>
          <t>New tenant gets the new trial length</t>
        </is>
      </c>
      <c r="G46" s="5" t="inlineStr">
        <is>
          <t>P1</t>
        </is>
      </c>
      <c r="H46" s="17" t="inlineStr">
        <is>
          <t>Blocked</t>
        </is>
      </c>
      <c r="I46" s="12" t="inlineStr">
        <is>
          <t>No 'default trial days' setting in admin UI (checked Health, Garages, Number pool, Plans, Integrations) and no create-tenant control — tenants only arrive via public signup. Trial-length propagation cannot be exercised.</t>
        </is>
      </c>
      <c r="J46" s="2" t="inlineStr">
        <is>
          <t>BUG-017</t>
        </is>
      </c>
      <c r="K46" s="13" t="inlineStr">
        <is>
          <t>2026-10-01</t>
        </is>
      </c>
      <c r="L46" s="3" t="inlineStr">
        <is>
          <t>2026-10-02: linked defect(s) fixed - ready for retest</t>
        </is>
      </c>
    </row>
    <row r="47">
      <c r="A47" s="2" t="inlineStr">
        <is>
          <t>6.9 Admin page - platform</t>
        </is>
      </c>
      <c r="B47" s="2" t="inlineStr">
        <is>
          <t>TC-I03</t>
        </is>
      </c>
      <c r="C47" s="3" t="inlineStr">
        <is>
          <t>Per-garage Twilio number provisioning</t>
        </is>
      </c>
      <c r="D47" s="3" t="inlineStr">
        <is>
          <t>Master Twilio configured</t>
        </is>
      </c>
      <c r="E47" s="3" t="inlineStr">
        <is>
          <t>Provision a number for a new garage</t>
        </is>
      </c>
      <c r="F47" s="3" t="inlineStr">
        <is>
          <t>Garage sends/receives SMS from its own number; other garages unaffected</t>
        </is>
      </c>
      <c r="G47" s="4" t="inlineStr">
        <is>
          <t>P0</t>
        </is>
      </c>
      <c r="H47" s="11" t="inlineStr">
        <is>
          <t>Pass</t>
        </is>
      </c>
      <c r="I47" s="12" t="inlineStr">
        <is>
          <t>Pool was empty ('No free numbers in pool'). Added +14022075944 (live number from the connected Twilio account; Test connection confirmed) to the pool, then assigned it to QA Test Garage RevLoop. UI confirmed: 'Number assigned. Inbound SMS webhook configured on Twilio.'</t>
        </is>
      </c>
      <c r="J47" s="2" t="inlineStr"/>
      <c r="K47" s="13" t="inlineStr">
        <is>
          <t>2026-10-01</t>
        </is>
      </c>
      <c r="L47" s="3" t="inlineStr"/>
    </row>
    <row r="48">
      <c r="A48" s="2" t="inlineStr">
        <is>
          <t>6.9 Admin page - platform</t>
        </is>
      </c>
      <c r="B48" s="2" t="inlineStr">
        <is>
          <t>TC-I04</t>
        </is>
      </c>
      <c r="C48" s="3" t="inlineStr">
        <is>
          <t>Stripe product/price mapping</t>
        </is>
      </c>
      <c r="D48" s="3" t="inlineStr">
        <is>
          <t>Admin logged in</t>
        </is>
      </c>
      <c r="E48" s="3" t="inlineStr">
        <is>
          <t>Map plans to Stripe test prices</t>
        </is>
      </c>
      <c r="F48" s="3" t="inlineStr">
        <is>
          <t>Garage checkout uses the mapped prices in CAD</t>
        </is>
      </c>
      <c r="G48" s="4" t="inlineStr">
        <is>
          <t>P0</t>
        </is>
      </c>
      <c r="H48" s="11" t="inlineStr">
        <is>
          <t>Pass</t>
        </is>
      </c>
      <c r="I48" s="12" t="inlineStr">
        <is>
          <t>Plans tab Stripe mapping: 500 SMS pack $15 CAD, Starter $49 CAD / 300 SMS/mo, Growth $99 CAD / 1000 SMS/mo — all CAD, consistent with the CA$49.00 STARTER checkout seen earlier.</t>
        </is>
      </c>
      <c r="J48" s="2" t="inlineStr"/>
      <c r="K48" s="13" t="inlineStr">
        <is>
          <t>2026-10-01</t>
        </is>
      </c>
      <c r="L48" s="3" t="inlineStr"/>
    </row>
    <row r="49">
      <c r="A49" s="2" t="inlineStr">
        <is>
          <t>6.9 Admin page - platform</t>
        </is>
      </c>
      <c r="B49" s="2" t="inlineStr">
        <is>
          <t>TC-I05</t>
        </is>
      </c>
      <c r="C49" s="3" t="inlineStr">
        <is>
          <t>Integration health dashboard</t>
        </is>
      </c>
      <c r="D49" s="3" t="inlineStr">
        <is>
          <t>All integrations configured</t>
        </is>
      </c>
      <c r="E49" s="3" t="inlineStr">
        <is>
          <t>Open health page</t>
        </is>
      </c>
      <c r="F49" s="3" t="inlineStr">
        <is>
          <t>Twilio / Stripe / ElevenLabs / DB each show real reachable status</t>
        </is>
      </c>
      <c r="G49" s="5" t="inlineStr">
        <is>
          <t>P1</t>
        </is>
      </c>
      <c r="H49" s="11" t="inlineStr">
        <is>
          <t>Pass</t>
        </is>
      </c>
      <c r="I49" s="12" t="inlineStr">
        <is>
          <t>Health tab: Database ACTIVE, Twilio ACTIVE, SMS mode LIVE, last cron Oct 1 9:15 PM. 'Test connection' ran a LIVE check on the real Twilio account (numbers listed). Gap: no VAPI/ElevenLabs status rows on the Health tab (ElevenLabs honestly shows 'not set' under Integrations).</t>
        </is>
      </c>
      <c r="J49" s="2" t="inlineStr">
        <is>
          <t>BUG-016</t>
        </is>
      </c>
      <c r="K49" s="13" t="inlineStr">
        <is>
          <t>2026-10-01</t>
        </is>
      </c>
      <c r="L49" s="3" t="inlineStr"/>
    </row>
    <row r="50">
      <c r="A50" s="2" t="inlineStr">
        <is>
          <t>6.9 Admin page - platform</t>
        </is>
      </c>
      <c r="B50" s="2" t="inlineStr">
        <is>
          <t>TC-I06</t>
        </is>
      </c>
      <c r="C50" s="3" t="inlineStr">
        <is>
          <t>Cross-tenant audit log</t>
        </is>
      </c>
      <c r="D50" s="3" t="inlineStr">
        <is>
          <t>Actions across garages</t>
        </is>
      </c>
      <c r="E50" s="3" t="inlineStr">
        <is>
          <t>Filter by tenant and action type</t>
        </is>
      </c>
      <c r="F50" s="3" t="inlineStr">
        <is>
          <t>Correct scoped results; no cross-tenant leakage in filters</t>
        </is>
      </c>
      <c r="G50" s="5" t="inlineStr">
        <is>
          <t>P1</t>
        </is>
      </c>
      <c r="H50" s="11" t="inlineStr">
        <is>
          <t>Pass</t>
        </is>
      </c>
      <c r="I50" s="12" t="inlineStr">
        <is>
          <t>Audit-log action filter works ('support.impersonation' -&gt; only matching entries incl. reason text); every entry carries its tenant label; no cross-tenant leakage. Limitation: no dedicated tenant-filter control, only the action substring filter.</t>
        </is>
      </c>
      <c r="J50" s="2" t="inlineStr"/>
      <c r="K50" s="13" t="inlineStr">
        <is>
          <t>2026-10-01</t>
        </is>
      </c>
      <c r="L50" s="3" t="inlineStr"/>
    </row>
    <row r="51">
      <c r="A51" s="2" t="inlineStr">
        <is>
          <t>6.10 AI cold-calling module</t>
        </is>
      </c>
      <c r="B51" s="2" t="inlineStr">
        <is>
          <t>TC-J01</t>
        </is>
      </c>
      <c r="C51" s="3" t="inlineStr">
        <is>
          <t>Prospect CSV upload</t>
        </is>
      </c>
      <c r="D51" s="3" t="inlineStr">
        <is>
          <t>Sample CSV: name, phone, location, contact, source, notes</t>
        </is>
      </c>
      <c r="E51" s="3" t="inlineStr">
        <is>
          <t>Upload via admin</t>
        </is>
      </c>
      <c r="F51" s="3" t="inlineStr">
        <is>
          <t>All rows imported; visible in funnel as New</t>
        </is>
      </c>
      <c r="G51" s="4" t="inlineStr">
        <is>
          <t>P0</t>
        </is>
      </c>
      <c r="H51" s="17" t="inlineStr">
        <is>
          <t>Blocked</t>
        </is>
      </c>
      <c r="I51" s="12" t="inlineStr">
        <is>
          <t>The ONLY prospect import path is CSV upload (columns: business_name, contact_name, phone, email, city); no manual 'add prospect' exists. File upload grants are broken in this environment, so the import could not be attempted.</t>
        </is>
      </c>
      <c r="J51" s="2" t="inlineStr"/>
      <c r="K51" s="13" t="inlineStr">
        <is>
          <t>2026-10-01</t>
        </is>
      </c>
      <c r="L51" s="3" t="inlineStr"/>
    </row>
    <row r="52">
      <c r="A52" s="2" t="inlineStr">
        <is>
          <t>6.10 AI cold-calling module</t>
        </is>
      </c>
      <c r="B52" s="2" t="inlineStr">
        <is>
          <t>TC-J02</t>
        </is>
      </c>
      <c r="C52" s="3" t="inlineStr">
        <is>
          <t>Duplicate phone rejected</t>
        </is>
      </c>
      <c r="D52" s="3" t="inlineStr">
        <is>
          <t>Same phone twice in CSV</t>
        </is>
      </c>
      <c r="E52" s="3" t="inlineStr">
        <is>
          <t>Upload</t>
        </is>
      </c>
      <c r="F52" s="3" t="inlineStr">
        <is>
          <t>Second row flagged as duplicate; only one prospect created</t>
        </is>
      </c>
      <c r="G52" s="4" t="inlineStr">
        <is>
          <t>P0</t>
        </is>
      </c>
      <c r="H52" s="17" t="inlineStr">
        <is>
          <t>Blocked</t>
        </is>
      </c>
      <c r="I52" s="12" t="inlineStr">
        <is>
          <t>No prospect data (J01 blocked) — duplicate handling not exercisable.</t>
        </is>
      </c>
      <c r="J52" s="2" t="inlineStr"/>
      <c r="K52" s="13" t="inlineStr">
        <is>
          <t>2026-10-01</t>
        </is>
      </c>
      <c r="L52" s="3" t="inlineStr"/>
    </row>
    <row r="53">
      <c r="A53" s="2" t="inlineStr">
        <is>
          <t>6.10 AI cold-calling module</t>
        </is>
      </c>
      <c r="B53" s="2" t="inlineStr">
        <is>
          <t>TC-J03</t>
        </is>
      </c>
      <c r="C53" s="3" t="inlineStr">
        <is>
          <t>Kanban stage moves</t>
        </is>
      </c>
      <c r="D53" s="3" t="inlineStr">
        <is>
          <t>Prospects exist</t>
        </is>
      </c>
      <c r="E53" s="3" t="inlineStr">
        <is>
          <t>Drag New → Call Scheduled → Called</t>
        </is>
      </c>
      <c r="F53" s="3" t="inlineStr">
        <is>
          <t>Stage persists after refresh; move logged with timestamp</t>
        </is>
      </c>
      <c r="G53" s="4" t="inlineStr">
        <is>
          <t>P0</t>
        </is>
      </c>
      <c r="H53" s="17" t="inlineStr">
        <is>
          <t>Blocked</t>
        </is>
      </c>
      <c r="I53" s="12" t="inlineStr">
        <is>
          <t>No prospect data (J01 blocked) — kanban moves not exercisable.</t>
        </is>
      </c>
      <c r="J53" s="2" t="inlineStr"/>
      <c r="K53" s="13" t="inlineStr">
        <is>
          <t>2026-10-01</t>
        </is>
      </c>
      <c r="L53" s="3" t="inlineStr"/>
    </row>
    <row r="54">
      <c r="A54" s="2" t="inlineStr">
        <is>
          <t>6.10 AI cold-calling module</t>
        </is>
      </c>
      <c r="B54" s="2" t="inlineStr">
        <is>
          <t>TC-J04</t>
        </is>
      </c>
      <c r="C54" s="3" t="inlineStr">
        <is>
          <t>Campaign respects calling window</t>
        </is>
      </c>
      <c r="D54" s="3" t="inlineStr">
        <is>
          <t>Window = Mon–Fri 9AM–6PM</t>
        </is>
      </c>
      <c r="E54" s="3" t="inlineStr">
        <is>
          <t>Start campaign; trigger a test call inside the window</t>
        </is>
      </c>
      <c r="F54" s="3" t="inlineStr">
        <is>
          <t>Call placed; attempt logged</t>
        </is>
      </c>
      <c r="G54" s="4" t="inlineStr">
        <is>
          <t>P0</t>
        </is>
      </c>
      <c r="H54" s="17" t="inlineStr">
        <is>
          <t>Blocked</t>
        </is>
      </c>
      <c r="I54" s="12" t="inlineStr">
        <is>
          <t>No prospect data; voice-call placement needs prospects. VAPI credentials ARE configured (key + phone +1 248 929 6872) but no test call placed (would dial a real number).</t>
        </is>
      </c>
      <c r="J54" s="2" t="inlineStr"/>
      <c r="K54" s="13" t="inlineStr">
        <is>
          <t>2026-10-01</t>
        </is>
      </c>
      <c r="L54" s="3" t="inlineStr"/>
    </row>
    <row r="55">
      <c r="A55" s="2" t="inlineStr">
        <is>
          <t>6.10 AI cold-calling module</t>
        </is>
      </c>
      <c r="B55" s="2" t="inlineStr">
        <is>
          <t>TC-J05</t>
        </is>
      </c>
      <c r="C55" s="3" t="inlineStr">
        <is>
          <t>No calls outside window</t>
        </is>
      </c>
      <c r="D55" s="3" t="inlineStr">
        <is>
          <t>Same campaign</t>
        </is>
      </c>
      <c r="E55" s="3" t="inlineStr">
        <is>
          <t>Trigger scheduler at 9PM</t>
        </is>
      </c>
      <c r="F55" s="3" t="inlineStr">
        <is>
          <t>No call placed; prospect queued for next window</t>
        </is>
      </c>
      <c r="G55" s="4" t="inlineStr">
        <is>
          <t>P0</t>
        </is>
      </c>
      <c r="H55" s="17" t="inlineStr">
        <is>
          <t>Blocked</t>
        </is>
      </c>
      <c r="I55" s="12" t="inlineStr">
        <is>
          <t>No prospect data. Observed setting: calling window Mon-Fri 10AM-5PM Toronto (not 9AM-6PM as briefed), 'CRTC hours enforced'.</t>
        </is>
      </c>
      <c r="J55" s="2" t="inlineStr"/>
      <c r="K55" s="13" t="inlineStr">
        <is>
          <t>2026-10-01</t>
        </is>
      </c>
      <c r="L55" s="3" t="inlineStr"/>
    </row>
    <row r="56">
      <c r="A56" s="2" t="inlineStr">
        <is>
          <t>6.10 AI cold-calling module</t>
        </is>
      </c>
      <c r="B56" s="2" t="inlineStr">
        <is>
          <t>TC-J06</t>
        </is>
      </c>
      <c r="C56" s="3" t="inlineStr">
        <is>
          <t>Max attempts enforced</t>
        </is>
      </c>
      <c r="D56" s="3" t="inlineStr">
        <is>
          <t>Max attempts = 3</t>
        </is>
      </c>
      <c r="E56" s="3" t="inlineStr">
        <is>
          <t>Prospect with 3 failed attempts; run scheduler again</t>
        </is>
      </c>
      <c r="F56" s="3" t="inlineStr">
        <is>
          <t>No 4th call; prospect flagged 'max attempts reached'</t>
        </is>
      </c>
      <c r="G56" s="5" t="inlineStr">
        <is>
          <t>P1</t>
        </is>
      </c>
      <c r="H56" s="17" t="inlineStr">
        <is>
          <t>Blocked</t>
        </is>
      </c>
      <c r="I56" s="12" t="inlineStr">
        <is>
          <t>No prospect data. Observed: Max tries 3, Retry hrs 48.</t>
        </is>
      </c>
      <c r="J56" s="2" t="inlineStr"/>
      <c r="K56" s="13" t="inlineStr">
        <is>
          <t>2026-10-01</t>
        </is>
      </c>
      <c r="L56" s="3" t="inlineStr"/>
    </row>
    <row r="57">
      <c r="A57" s="2" t="inlineStr">
        <is>
          <t>6.10 AI cold-calling module</t>
        </is>
      </c>
      <c r="B57" s="2" t="inlineStr">
        <is>
          <t>TC-J07</t>
        </is>
      </c>
      <c r="C57" s="3" t="inlineStr">
        <is>
          <t>Recording + transcript + summary</t>
        </is>
      </c>
      <c r="D57" s="3" t="inlineStr">
        <is>
          <t>Completed test call</t>
        </is>
      </c>
      <c r="E57" s="3" t="inlineStr">
        <is>
          <t>Open the prospect's call record</t>
        </is>
      </c>
      <c r="F57" s="3" t="inlineStr">
        <is>
          <t>Audio recording playable; transcript readable; AI summary + outcome stored</t>
        </is>
      </c>
      <c r="G57" s="4" t="inlineStr">
        <is>
          <t>P0</t>
        </is>
      </c>
      <c r="H57" s="17" t="inlineStr">
        <is>
          <t>Blocked</t>
        </is>
      </c>
      <c r="I57" s="12" t="inlineStr">
        <is>
          <t>Zero completed calls exist; none could be placed. Recording/transcript/summary UI not exercisable.</t>
        </is>
      </c>
      <c r="J57" s="2" t="inlineStr"/>
      <c r="K57" s="13" t="inlineStr">
        <is>
          <t>2026-10-01</t>
        </is>
      </c>
      <c r="L57" s="3" t="inlineStr"/>
    </row>
    <row r="58">
      <c r="A58" s="2" t="inlineStr">
        <is>
          <t>6.10 AI cold-calling module</t>
        </is>
      </c>
      <c r="B58" s="2" t="inlineStr">
        <is>
          <t>TC-J08</t>
        </is>
      </c>
      <c r="C58" s="3" t="inlineStr">
        <is>
          <t>Interested → follow-up queue</t>
        </is>
      </c>
      <c r="D58" s="3" t="inlineStr">
        <is>
          <t>Call outcome = Interested</t>
        </is>
      </c>
      <c r="E58" s="3" t="inlineStr">
        <is>
          <t>Check funnel and follow-up queue</t>
        </is>
      </c>
      <c r="F58" s="3" t="inlineStr">
        <is>
          <t>Prospect auto-moved to Interested; appears in personal follow-up queue</t>
        </is>
      </c>
      <c r="G58" s="4" t="inlineStr">
        <is>
          <t>P0</t>
        </is>
      </c>
      <c r="H58" s="17" t="inlineStr">
        <is>
          <t>Blocked</t>
        </is>
      </c>
      <c r="I58" s="12" t="inlineStr">
        <is>
          <t>No prospect data; Interested-outcome flow not exercisable.</t>
        </is>
      </c>
      <c r="J58" s="2" t="inlineStr"/>
      <c r="K58" s="13" t="inlineStr">
        <is>
          <t>2026-10-01</t>
        </is>
      </c>
      <c r="L58" s="3" t="inlineStr"/>
    </row>
    <row r="59">
      <c r="A59" s="2" t="inlineStr">
        <is>
          <t>6.10 AI cold-calling module</t>
        </is>
      </c>
      <c r="B59" s="2" t="inlineStr">
        <is>
          <t>TC-J09</t>
        </is>
      </c>
      <c r="C59" s="3" t="inlineStr">
        <is>
          <t>DNC suppression</t>
        </is>
      </c>
      <c r="D59" s="3" t="inlineStr">
        <is>
          <t>Prospect marked Do Not Call / replied STOP</t>
        </is>
      </c>
      <c r="E59" s="3" t="inlineStr">
        <is>
          <t>Run a new campaign including that number</t>
        </is>
      </c>
      <c r="F59" s="3" t="inlineStr">
        <is>
          <t>Number never called; suppression logged</t>
        </is>
      </c>
      <c r="G59" s="4" t="inlineStr">
        <is>
          <t>P0</t>
        </is>
      </c>
      <c r="H59" s="17" t="inlineStr">
        <is>
          <t>Blocked</t>
        </is>
      </c>
      <c r="I59" s="12" t="inlineStr">
        <is>
          <t>No prospect data to mark DNC and campaign against.</t>
        </is>
      </c>
      <c r="J59" s="2" t="inlineStr"/>
      <c r="K59" s="13" t="inlineStr">
        <is>
          <t>2026-10-01</t>
        </is>
      </c>
      <c r="L59" s="3" t="inlineStr"/>
    </row>
    <row r="60">
      <c r="A60" s="2" t="inlineStr">
        <is>
          <t>6.10 AI cold-calling module</t>
        </is>
      </c>
      <c r="B60" s="2" t="inlineStr">
        <is>
          <t>TC-J10</t>
        </is>
      </c>
      <c r="C60" s="3" t="inlineStr">
        <is>
          <t>Campaign analytics reconcile</t>
        </is>
      </c>
      <c r="D60" s="3" t="inlineStr">
        <is>
          <t>Campaign with 20 calls</t>
        </is>
      </c>
      <c r="E60" s="3" t="inlineStr">
        <is>
          <t>Open analytics</t>
        </is>
      </c>
      <c r="F60" s="3" t="inlineStr">
        <is>
          <t>Calls, connect rate, interested rate match the underlying call logs exactly</t>
        </is>
      </c>
      <c r="G60" s="5" t="inlineStr">
        <is>
          <t>P1</t>
        </is>
      </c>
      <c r="H60" s="17" t="inlineStr">
        <is>
          <t>Blocked</t>
        </is>
      </c>
      <c r="I60" s="12" t="inlineStr">
        <is>
          <t>Zero calls — analytics have nothing to reconcile.</t>
        </is>
      </c>
      <c r="J60" s="2" t="inlineStr"/>
      <c r="K60" s="13" t="inlineStr">
        <is>
          <t>2026-10-01</t>
        </is>
      </c>
      <c r="L60" s="3" t="inlineStr"/>
    </row>
    <row r="61">
      <c r="A61" s="2" t="inlineStr">
        <is>
          <t>6.10 AI cold-calling module</t>
        </is>
      </c>
      <c r="B61" s="2" t="inlineStr">
        <is>
          <t>TC-J11</t>
        </is>
      </c>
      <c r="C61" s="3" t="inlineStr">
        <is>
          <t>Call-attempt &amp; opt-out audit log</t>
        </is>
      </c>
      <c r="D61" s="3" t="inlineStr">
        <is>
          <t>Calls and STOPs occurred</t>
        </is>
      </c>
      <c r="E61" s="3" t="inlineStr">
        <is>
          <t>Open the audit log</t>
        </is>
      </c>
      <c r="F61" s="3" t="inlineStr">
        <is>
          <t>Every attempt and every opt-out present with timestamps</t>
        </is>
      </c>
      <c r="G61" s="5" t="inlineStr">
        <is>
          <t>P1</t>
        </is>
      </c>
      <c r="H61" s="17" t="inlineStr">
        <is>
          <t>Blocked</t>
        </is>
      </c>
      <c r="I61" s="12" t="inlineStr">
        <is>
          <t>No call attempts exist in the audit log to verify.</t>
        </is>
      </c>
      <c r="J61" s="2" t="inlineStr"/>
      <c r="K61" s="13" t="inlineStr">
        <is>
          <t>2026-10-01</t>
        </is>
      </c>
      <c r="L61" s="3" t="inlineStr"/>
    </row>
    <row r="62">
      <c r="A62" s="2" t="inlineStr">
        <is>
          <t>6.11 Non-functional</t>
        </is>
      </c>
      <c r="B62" s="2" t="inlineStr">
        <is>
          <t>TC-K01</t>
        </is>
      </c>
      <c r="C62" s="3" t="inlineStr">
        <is>
          <t>Page load performance</t>
        </is>
      </c>
      <c r="D62" s="3" t="inlineStr">
        <is>
          <t>Deployed build</t>
        </is>
      </c>
      <c r="E62" s="3" t="inlineStr">
        <is>
          <t>Open dashboard, calendar, CRM, admin pages</t>
        </is>
      </c>
      <c r="F62" s="3" t="inlineStr">
        <is>
          <t>Each loads in under ~3s on a normal connection</t>
        </is>
      </c>
      <c r="G62" s="5" t="inlineStr">
        <is>
          <t>P1</t>
        </is>
      </c>
      <c r="H62" s="11" t="inlineStr">
        <is>
          <t>Pass</t>
        </is>
      </c>
      <c r="I62" s="12" t="inlineStr">
        <is>
          <t>Approx load times: dashboard ~1.3s, calendar ~1.2s, customers ~1.2s, admin ~1.5s, AI Sales ~1.1s — all under 3s. (One 7.4s first load was backend spin-up after wake.)</t>
        </is>
      </c>
      <c r="J62" s="2" t="inlineStr"/>
      <c r="K62" s="13" t="inlineStr">
        <is>
          <t>2026-10-01</t>
        </is>
      </c>
      <c r="L62" s="3" t="inlineStr"/>
    </row>
    <row r="63">
      <c r="A63" s="2" t="inlineStr">
        <is>
          <t>6.11 Non-functional</t>
        </is>
      </c>
      <c r="B63" s="2" t="inlineStr">
        <is>
          <t>TC-K02</t>
        </is>
      </c>
      <c r="C63" s="3" t="inlineStr">
        <is>
          <t>Mobile responsiveness</t>
        </is>
      </c>
      <c r="D63" s="3" t="inlineStr">
        <is>
          <t>Phone viewport</t>
        </is>
      </c>
      <c r="E63" s="3" t="inlineStr">
        <is>
          <t>Open garage dashboard, booking link, admin funnel</t>
        </is>
      </c>
      <c r="F63" s="3" t="inlineStr">
        <is>
          <t>Usable without horizontal scrolling; buttons reachable</t>
        </is>
      </c>
      <c r="G63" s="5" t="inlineStr">
        <is>
          <t>P1</t>
        </is>
      </c>
      <c r="H63" s="17" t="inlineStr">
        <is>
          <t>Blocked</t>
        </is>
      </c>
      <c r="I63" s="12" t="inlineStr">
        <is>
          <t>No viewport-control capability in this automation environment — mobile layout could not be evaluated.</t>
        </is>
      </c>
      <c r="J63" s="2" t="inlineStr"/>
      <c r="K63" s="13" t="inlineStr">
        <is>
          <t>2026-10-01</t>
        </is>
      </c>
      <c r="L63" s="3" t="inlineStr"/>
    </row>
    <row r="64">
      <c r="A64" s="2" t="inlineStr">
        <is>
          <t>6.11 Non-functional</t>
        </is>
      </c>
      <c r="B64" s="2" t="inlineStr">
        <is>
          <t>TC-K03</t>
        </is>
      </c>
      <c r="C64" s="3" t="inlineStr">
        <is>
          <t>No secrets in client code</t>
        </is>
      </c>
      <c r="D64" s="3" t="inlineStr">
        <is>
          <t>Deployed frontend</t>
        </is>
      </c>
      <c r="E64" s="3" t="inlineStr">
        <is>
          <t>Spot-check built JS bundles</t>
        </is>
      </c>
      <c r="F64" s="3" t="inlineStr">
        <is>
          <t>No API keys/tokens present in client-side code</t>
        </is>
      </c>
      <c r="G64" s="4" t="inlineStr">
        <is>
          <t>P0</t>
        </is>
      </c>
      <c r="H64" s="14" t="inlineStr">
        <is>
          <t>Fail</t>
        </is>
      </c>
      <c r="I64" s="12" t="inlineStr">
        <is>
          <t>32-hex bearer token (X-Emergent-Overlay-Token for the preview overlay's report/crash-replay endpoints) found in inline page script. It is injected by Emergent's preview tooling, NOT RevLoop's code — but it is a real credential in client-served code. No Stripe/Twilio secrets in page source; admin integration keys are masked server-side.</t>
        </is>
      </c>
      <c r="J64" s="2" t="inlineStr">
        <is>
          <t>BUG-015</t>
        </is>
      </c>
      <c r="K64" s="13" t="inlineStr">
        <is>
          <t>2026-10-01</t>
        </is>
      </c>
      <c r="L64" s="3" t="inlineStr">
        <is>
          <t>2026-10-02: linked defect(s) fixed - ready for retest</t>
        </is>
      </c>
    </row>
    <row r="65">
      <c r="A65" s="2" t="inlineStr">
        <is>
          <t>6.11 Non-functional</t>
        </is>
      </c>
      <c r="B65" s="2" t="inlineStr">
        <is>
          <t>TC-K04</t>
        </is>
      </c>
      <c r="C65" s="3" t="inlineStr">
        <is>
          <t>Booking link works logged-out</t>
        </is>
      </c>
      <c r="D65" s="3" t="inlineStr">
        <is>
          <t>Incognito window</t>
        </is>
      </c>
      <c r="E65" s="3" t="inlineStr">
        <is>
          <t>Complete a booking start→finish</t>
        </is>
      </c>
      <c r="F65" s="3" t="inlineStr">
        <is>
          <t>Works fully with no login session</t>
        </is>
      </c>
      <c r="G65" s="5" t="inlineStr">
        <is>
          <t>P1</t>
        </is>
      </c>
      <c r="H65" s="11" t="inlineStr">
        <is>
          <t>Pass</t>
        </is>
      </c>
      <c r="I65" s="12" t="inlineStr">
        <is>
          <t>Logged-out booking on /book/demo-auto-toronto completed start-&gt;finish (fake customer QA Test Booker +15555550199, consent unchecked). Confirmation: 'You're booked! Oil &amp; filter change — 2026-10-03 at 10:00 AM.'</t>
        </is>
      </c>
      <c r="J65" s="2" t="inlineStr"/>
      <c r="K65" s="13" t="inlineStr">
        <is>
          <t>2026-10-01</t>
        </is>
      </c>
      <c r="L65" s="3" t="inlineStr"/>
    </row>
  </sheetData>
  <autoFilter ref="A1:L1"/>
  <dataValidations count="1">
    <dataValidation sqref="H2 H3 H4 H5 H6 H7 H8 H9 H10 H11 H12 H13 H14 H15 H16 H17 H18 H19 H20 H21 H22 H23 H24 H25 H26 H27 H28 H29 H30 H31 H32 H33 H34 H35 H36 H37 H38 H39 H40 H41 H42 H43 H44 H45 H46 H47 H48 H49 H50 H51 H52 H53 H54 H55 H56 H57 H58 H59 H60 H61 H62 H63 H64 H65" showDropDown="0" showInputMessage="0" showErrorMessage="0" allowBlank="0" error="Pick from the list" type="list">
      <formula1>"Not Run,Pass,Fail,Blocked,Skipped"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2" customWidth="1" min="1" max="1"/>
    <col width="14" customWidth="1" min="2" max="2"/>
  </cols>
  <sheetData>
    <row r="1">
      <c r="A1" s="7" t="inlineStr">
        <is>
          <t>RevLoop Phase 1 — Test Execution Summary</t>
        </is>
      </c>
    </row>
    <row r="3">
      <c r="A3" s="8" t="inlineStr">
        <is>
          <t>Total test cases</t>
        </is>
      </c>
      <c r="B3" s="9">
        <f>COUNTA('Execution Tracker'!B2:B66)</f>
        <v/>
      </c>
    </row>
    <row r="4">
      <c r="A4" s="8" t="inlineStr">
        <is>
          <t>Not Run</t>
        </is>
      </c>
      <c r="B4" s="9">
        <f>COUNTIF('Execution Tracker'!H2:H66,"Not Run")</f>
        <v/>
      </c>
    </row>
    <row r="5">
      <c r="A5" s="8" t="inlineStr">
        <is>
          <t>Pass</t>
        </is>
      </c>
      <c r="B5" s="9">
        <f>COUNTIF('Execution Tracker'!H2:H66,"Pass")</f>
        <v/>
      </c>
    </row>
    <row r="6">
      <c r="A6" s="8" t="inlineStr">
        <is>
          <t>Fail</t>
        </is>
      </c>
      <c r="B6" s="9">
        <f>COUNTIF('Execution Tracker'!H2:H66,"Fail")</f>
        <v/>
      </c>
    </row>
    <row r="7">
      <c r="A7" s="8" t="inlineStr">
        <is>
          <t>Blocked</t>
        </is>
      </c>
      <c r="B7" s="9">
        <f>COUNTIF('Execution Tracker'!H2:H66,"Blocked")</f>
        <v/>
      </c>
    </row>
    <row r="8">
      <c r="A8" s="8" t="inlineStr">
        <is>
          <t>Skipped</t>
        </is>
      </c>
      <c r="B8" s="9">
        <f>COUNTIF('Execution Tracker'!H2:H66,"Skipped")</f>
        <v/>
      </c>
    </row>
    <row r="9">
      <c r="A9" s="8" t="inlineStr">
        <is>
          <t>P0 Pass</t>
        </is>
      </c>
      <c r="B9" s="9">
        <f>COUNTIFS('Execution Tracker'!G2:G66,"P0",'Execution Tracker'!H2:H66,"Pass")</f>
        <v/>
      </c>
    </row>
    <row r="10">
      <c r="A10" s="8" t="inlineStr">
        <is>
          <t>P0 Total</t>
        </is>
      </c>
      <c r="B10" s="9">
        <f>COUNTIF('Execution Tracker'!G2:G66,"P0")</f>
        <v/>
      </c>
    </row>
    <row r="11">
      <c r="A11" s="8" t="inlineStr">
        <is>
          <t>Defects logged</t>
        </is>
      </c>
      <c r="B11" s="9">
        <f>COUNTA('Execution Tracker'!J2:J66)</f>
        <v/>
      </c>
    </row>
    <row r="14">
      <c r="A14" s="10" t="inlineStr">
        <is>
          <t>Fill 'Executed On' as YYYY-MM-DD. Defect IDs: BUG-001, BUG-002,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8"/>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10" customWidth="1" min="3" max="3"/>
    <col width="14" customWidth="1" min="4" max="4"/>
    <col width="12" customWidth="1" min="5" max="5"/>
    <col width="60" customWidth="1" min="6" max="6"/>
    <col width="80" customWidth="1" min="7" max="7"/>
    <col width="18" customWidth="1" min="8" max="8"/>
    <col width="70" customWidth="1" min="9" max="9"/>
    <col width="45" customWidth="1" min="10" max="10"/>
    <col width="12" customWidth="1" min="11" max="11"/>
  </cols>
  <sheetData>
    <row r="1" ht="28" customHeight="1">
      <c r="A1" s="1" t="inlineStr">
        <is>
          <t>Defect ID</t>
        </is>
      </c>
      <c r="B1" s="1" t="inlineStr">
        <is>
          <t>Title</t>
        </is>
      </c>
      <c r="C1" s="1" t="inlineStr">
        <is>
          <t>Severity</t>
        </is>
      </c>
      <c r="D1" s="1" t="inlineStr">
        <is>
          <t>Test Case(s)</t>
        </is>
      </c>
      <c r="E1" s="1" t="inlineStr">
        <is>
          <t>Status</t>
        </is>
      </c>
      <c r="F1" s="1" t="inlineStr">
        <is>
          <t>Repro / Notes</t>
        </is>
      </c>
      <c r="G1" s="1" t="inlineStr">
        <is>
          <t>Fix instructions for Emergent (copy-paste to Emergent)</t>
        </is>
      </c>
      <c r="H1" s="18" t="inlineStr">
        <is>
          <t>Resolution status</t>
        </is>
      </c>
      <c r="I1" s="18" t="inlineStr">
        <is>
          <t>Resolution (what was changed)</t>
        </is>
      </c>
      <c r="J1" s="18" t="inlineStr">
        <is>
          <t>Verification</t>
        </is>
      </c>
      <c r="K1" s="18" t="inlineStr">
        <is>
          <t>Resolved on</t>
        </is>
      </c>
    </row>
    <row r="2">
      <c r="A2" s="2" t="inlineStr">
        <is>
          <t>BUG-001</t>
        </is>
      </c>
      <c r="B2" s="3" t="inlineStr">
        <is>
          <t>Staff restricted URLs redirect to /calendar instead of returning 403</t>
        </is>
      </c>
      <c r="C2" s="5" t="inlineStr">
        <is>
          <t>Medium</t>
        </is>
      </c>
      <c r="D2" s="2" t="inlineStr">
        <is>
          <t>TC-A02, TC-A03</t>
        </is>
      </c>
      <c r="E2" s="2" t="inlineStr">
        <is>
          <t>Fixed - Ready for retest</t>
        </is>
      </c>
      <c r="F2" s="3" t="inlineStr">
        <is>
          <t>Sign in as staff@demo.revloop.test -&gt; navigate to /settings, /templates, /billing -&gt; silently redirected to /calendar. Expected: 403 page. Restriction itself works (no content served), but wrong signal.</t>
        </is>
      </c>
      <c r="G2" s="12" t="inlineStr">
        <is>
          <t>In the garage app's route guard for owner-only pages (/settings, /templates, /billing): when a staff-role user requests the URL directly, return HTTP 403 and render a visible 'Access denied' page instead of silently redirecting to /calendar. The role check itself works (no content is served) — only the response is wrong. Acceptance: direct GET as staff to each URL -&gt; 403 status + 'Access denied' page.</t>
        </is>
      </c>
      <c r="H2" s="19" t="inlineStr">
        <is>
          <t>Fixed</t>
        </is>
      </c>
      <c r="I2" s="19" t="inlineStr">
        <is>
          <t>Owner-only and admin-only pages (/settings, /templates, /automations, /billing, /admin, /sales) now show an 'Access denied - 403' page instead of redirecting. Matching APIs return HTTP 403. Added /templates and /billing routes.</t>
        </is>
      </c>
      <c r="J2" s="19" t="inlineStr">
        <is>
          <t>Tested: staff sees the access-denied page on all 6 URLs; APIs return 403</t>
        </is>
      </c>
      <c r="K2" s="19" t="inlineStr">
        <is>
          <t>2026-10-02</t>
        </is>
      </c>
    </row>
    <row r="3">
      <c r="A3" s="2" t="inlineStr">
        <is>
          <t>BUG-002</t>
        </is>
      </c>
      <c r="B3" s="3" t="inlineStr">
        <is>
          <t>Access-denial attempts are not written to the audit log</t>
        </is>
      </c>
      <c r="C3" s="5" t="inlineStr">
        <is>
          <t>Medium</t>
        </is>
      </c>
      <c r="D3" s="2" t="inlineStr">
        <is>
          <t>TC-A03, TC-A04</t>
        </is>
      </c>
      <c r="E3" s="2" t="inlineStr">
        <is>
          <t>Fixed - Ready for retest</t>
        </is>
      </c>
      <c r="F3" s="3" t="inlineStr">
        <is>
          <t>Staff opening /billing directly, and owner opening another tenant's /customers/&lt;id&gt; URL, produce NO entries in the super-admin Audit log. Expected: every denial audited with actor + timestamp.</t>
        </is>
      </c>
      <c r="G3" s="12" t="inlineStr">
        <is>
          <t>In the same authorization guard (and the tenant-ownership check), write an audit-log entry BEFORE denying: actor id, tenant id, attempted path, timestamp, outcome=denied. Covers staff hitting owner-only URLs and cross-tenant object access attempts. Acceptance: each denied attempt appears in the super-admin Audit log with actor + timestamp.</t>
        </is>
      </c>
      <c r="H3" s="19" t="inlineStr">
        <is>
          <t>Fixed</t>
        </is>
      </c>
      <c r="I3" s="19" t="inlineStr">
        <is>
          <t>Every denial is written to the audit log before the 403: action 'access.denied', with actor, role, path, method, garage and time. Covers API calls and directly opened pages.</t>
        </is>
      </c>
      <c r="J3" s="19" t="inlineStr">
        <is>
          <t>Tested: access.denied rows appear in the super-admin Audit log</t>
        </is>
      </c>
      <c r="K3" s="19" t="inlineStr">
        <is>
          <t>2026-10-02</t>
        </is>
      </c>
    </row>
    <row r="4">
      <c r="A4" s="2" t="inlineStr">
        <is>
          <t>BUG-003</t>
        </is>
      </c>
      <c r="B4" s="3" t="inlineStr">
        <is>
          <t>Cross-tenant object URL shows 'Customer not found' instead of 403</t>
        </is>
      </c>
      <c r="C4" s="6" t="inlineStr">
        <is>
          <t>Low</t>
        </is>
      </c>
      <c r="D4" s="2" t="inlineStr">
        <is>
          <t>TC-A04</t>
        </is>
      </c>
      <c r="E4" s="2" t="inlineStr">
        <is>
          <t>Fixed - Ready for retest</t>
        </is>
      </c>
      <c r="F4" s="3" t="inlineStr">
        <is>
          <t>As Demo Auto Toronto owner, opening QA Test Garage's /customers/&lt;uuid&gt; shows 'Customer not found'. Data isolation holds (nothing leaked) but expected 403 + audit entry.</t>
        </is>
      </c>
      <c r="G4" s="12" t="inlineStr">
        <is>
          <t>In the customer/booking fetch layer, check tenant ownership BEFORE the existence check: if the record exists but belongs to a different tenant -&gt; return 403 + audit entry (see BUG-002); only return 404 when the record does not exist at all. Acceptance: Garage A owner opening Garage B's /customers/&lt;id&gt; -&gt; 403, no data leaked, audit entry written.</t>
        </is>
      </c>
      <c r="H4" s="19" t="inlineStr">
        <is>
          <t>Fixed</t>
        </is>
      </c>
      <c r="I4" s="19" t="inlineStr">
        <is>
          <t>The data layer now checks which garage a record belongs to. If it belongs to another garage: 403 plus an 'access.denied.cross-tenant' audit entry, and nothing is returned. If it doesn't exist: 404. The customer page shows '403 - Access denied'.</t>
        </is>
      </c>
      <c r="J4" s="19" t="inlineStr">
        <is>
          <t>Tested: other garage's customer -&gt; 403; random id -&gt; 404</t>
        </is>
      </c>
      <c r="K4" s="19" t="inlineStr">
        <is>
          <t>2026-10-02</t>
        </is>
      </c>
    </row>
    <row r="5">
      <c r="A5" s="2" t="inlineStr">
        <is>
          <t>BUG-004</t>
        </is>
      </c>
      <c r="B5" s="3" t="inlineStr">
        <is>
          <t>No forgot-password flow exists</t>
        </is>
      </c>
      <c r="C5" s="14" t="inlineStr">
        <is>
          <t>High</t>
        </is>
      </c>
      <c r="D5" s="2" t="inlineStr">
        <is>
          <t>TC-A06</t>
        </is>
      </c>
      <c r="E5" s="2" t="inlineStr">
        <is>
          <t>Fixed - Ready for retest</t>
        </is>
      </c>
      <c r="F5" s="3" t="inlineStr">
        <is>
          <t>Login page has NO forgot-password link; direct navigation to /forgot-password and /reset-password redirects to /login. Users locked out have no self-serve recovery.</t>
        </is>
      </c>
      <c r="G5" s="12" t="inlineStr">
        <is>
          <t>Implement the missing password-reset flow: (1) add 'Forgot password?' link on /login; (2) /forgot-password route with email form that sends a signed, expiring reset token by email; (3) /reset-password?token=... route that sets the new password and invalidates all existing sessions for the user. Acceptance: full flow works end-to-end on a test account; /forgot-password and /reset-password no longer redirect to /login.</t>
        </is>
      </c>
      <c r="H5" s="19" t="inlineStr">
        <is>
          <t>Fixed</t>
        </is>
      </c>
      <c r="I5" s="19" t="inlineStr">
        <is>
          <t>Added 'Forgot password?' on /login, plus /forgot-password and /reset-password pages. The reset link is emailed to the user (Emergent-managed Resend), works once and expires in 1 hour. The response is the same whether or not the account exists. Resetting signs the user out everywhere. Fully audited.</t>
        </is>
      </c>
      <c r="J5" s="19" t="inlineStr">
        <is>
          <t>Tested: reset flow end to end (token, new password works, old one fails, link can't be reused, other sessions signed out)</t>
        </is>
      </c>
      <c r="K5" s="19" t="inlineStr">
        <is>
          <t>2026-10-02</t>
        </is>
      </c>
    </row>
    <row r="6">
      <c r="A6" s="2" t="inlineStr">
        <is>
          <t>BUG-005</t>
        </is>
      </c>
      <c r="B6" s="3" t="inlineStr">
        <is>
          <t>No session-timeout setting; timeout behavior unverifiable</t>
        </is>
      </c>
      <c r="C6" s="5" t="inlineStr">
        <is>
          <t>Medium</t>
        </is>
      </c>
      <c r="D6" s="2" t="inlineStr">
        <is>
          <t>TC-A06</t>
        </is>
      </c>
      <c r="E6" s="2" t="inlineStr">
        <is>
          <t>Fixed - Ready for retest</t>
        </is>
      </c>
      <c r="F6" s="3" t="inlineStr">
        <is>
          <t>No timeout control in admin (Health/Garages/Number pool/Plans/Integrations/Audit log) or garage Settings; sessions persisted ~25 min of testing. Expected: configurable idle timeout.</t>
        </is>
      </c>
      <c r="G6" s="12" t="inlineStr">
        <is>
          <t>Add a configurable idle session timeout (suggested default 60 minutes, configurable in super-admin settings and/or garage Settings): expire the session after the configured inactivity period and redirect to /login with a 'session expired' notice. Acceptance: setting is visible; a session idle past the timeout is terminated and cannot be reused.</t>
        </is>
      </c>
      <c r="H6" s="19" t="inlineStr">
        <is>
          <t>Fixed</t>
        </is>
      </c>
      <c r="I6" s="19" t="inlineStr">
        <is>
          <t>Added an idle session timeout: SESSION_IDLE_MINUTES in Platform admin -&gt; Integrations, default 60. An idle session is deleted, and the user is sent to /login?expired=1 with a 'session expired' notice.</t>
        </is>
      </c>
      <c r="J6" s="19" t="inlineStr">
        <is>
          <t>Tested: session idle past the limit -&gt; 401 and expired notice</t>
        </is>
      </c>
      <c r="K6" s="19" t="inlineStr">
        <is>
          <t>2026-10-02</t>
        </is>
      </c>
    </row>
    <row r="7">
      <c r="A7" s="2" t="inlineStr">
        <is>
          <t>BUG-006</t>
        </is>
      </c>
      <c r="B7" s="3" t="inlineStr">
        <is>
          <t>SMS number pool is empty — new tenants cannot get a dedicated number</t>
        </is>
      </c>
      <c r="C7" s="14" t="inlineStr">
        <is>
          <t>High</t>
        </is>
      </c>
      <c r="D7" s="2" t="inlineStr">
        <is>
          <t>TC-A01</t>
        </is>
      </c>
      <c r="E7" s="2" t="inlineStr">
        <is>
          <t>Fixed - Ready for retest</t>
        </is>
      </c>
      <c r="F7" s="3" t="inlineStr">
        <is>
          <t>Admin Garages tab for the new tenant shows 'No free numbers in pool'; Settings -&gt; Phone &amp; SMS shows 'Not assigned yet - PENDING'. Onboarding checklist items 'Garage approved' / 'Dedicated SMS number assigned' can never complete. Possibly seed-data issue in preview.</t>
        </is>
      </c>
      <c r="G7" s="12" t="inlineStr">
        <is>
          <t>Likely seed-data, not code: the Twilio number pool is empty in this environment (admin Garages tab shows 'No free numbers in pool'), so approving a garage can never assign a dedicated SMS number and the onboarding checklist items 'Garage approved' / 'Dedicated SMS number assigned' can never complete. Action: seed the pool with test numbers in preview/test envs AND add a clear admin warning when the pool is empty. Acceptance: pool shows available numbers; approving a garage assigns one; checklist completes.</t>
        </is>
      </c>
      <c r="H7" s="19" t="inlineStr">
        <is>
          <t>Fixed (setup + code)</t>
        </is>
      </c>
      <c r="I7" s="19" t="inlineStr">
        <is>
          <t>Root cause: the pool only held your one Twilio number, and it was already assigned. Added an empty-pool warning on the Garages tab, a free-number count on Health, and a 'Buy a Twilio number' button by area code. A bought number joins the pool with its SMS webhook already set.</t>
        </is>
      </c>
      <c r="J7" s="19" t="inlineStr">
        <is>
          <t>Tested: warning, count and buy button are present. The purchase itself wasn't tested because it costs money. Action for you: buy or add a number, then assign it.</t>
        </is>
      </c>
      <c r="K7" s="19" t="inlineStr">
        <is>
          <t>2026-10-02</t>
        </is>
      </c>
    </row>
    <row r="8">
      <c r="A8" s="15" t="inlineStr">
        <is>
          <t>BUG-007</t>
        </is>
      </c>
      <c r="B8" s="16" t="inlineStr">
        <is>
          <t>No UI to edit a customer's name/phone/email</t>
        </is>
      </c>
      <c r="C8" s="14" t="inlineStr">
        <is>
          <t>High</t>
        </is>
      </c>
      <c r="D8" s="15" t="inlineStr">
        <is>
          <t>TC-B01</t>
        </is>
      </c>
      <c r="E8" s="15" t="inlineStr">
        <is>
          <t>Fixed - Ready for retest</t>
        </is>
      </c>
      <c r="F8" s="16" t="inlineStr">
        <is>
          <t>Customers -&gt; open any customer -&gt; profile shows only Consent / Vehicle / Book buttons; list rows are plain links; double-click does nothing. Customer create + search work, but edits are impossible from the UI.</t>
        </is>
      </c>
      <c r="G8" s="12" t="inlineStr">
        <is>
          <t>Add an Edit affordance for customers: an Edit button on the customer profile page allowing name, phone, and email changes, with phone-format validation and duplicate-phone handling consistent with CSV import rules. Persist and reflect in list/search immediately. Acceptance: edit a customer's phone -&gt; saved; search by the new phone finds the customer.</t>
        </is>
      </c>
      <c r="H8" s="19" t="inlineStr">
        <is>
          <t>Fixed</t>
        </is>
      </c>
      <c r="I8" s="19" t="inlineStr">
        <is>
          <t>Edit button on the customer profile for name, phone and email. Phones are checked for format, and a phone already used by another customer is rejected. Queued texts switch to the new number. Changes are audited, including the old phone.</t>
        </is>
      </c>
      <c r="J8" s="19" t="inlineStr">
        <is>
          <t>Tested: phone change saved and searchable; duplicate rejected (409)</t>
        </is>
      </c>
      <c r="K8" s="19" t="inlineStr">
        <is>
          <t>2026-10-02</t>
        </is>
      </c>
    </row>
    <row r="9">
      <c r="A9" s="15" t="inlineStr">
        <is>
          <t>BUG-008</t>
        </is>
      </c>
      <c r="B9" s="16" t="inlineStr">
        <is>
          <t>Public booking link allows double-booking the same slot</t>
        </is>
      </c>
      <c r="C9" s="14" t="inlineStr">
        <is>
          <t>High</t>
        </is>
      </c>
      <c r="D9" s="15" t="inlineStr">
        <is>
          <t>TC-C04</t>
        </is>
      </c>
      <c r="E9" s="15" t="inlineStr">
        <is>
          <t>Fixed - Ready for retest</t>
        </is>
      </c>
      <c r="F9" s="16" t="inlineStr">
        <is>
          <t>Booked Fri Oct 2 2:00 PM twice via /book/demo-auto-toronto (QA C04 One +15550101111, QA C04 Two +15550101112) — both 'You're booked!', slot still listed free. In-app Calendar Book dialog DOES reject conflicts ('already booked at this time'). The overlap check is missing only in the public flow.</t>
        </is>
      </c>
      <c r="G9" s="12" t="inlineStr">
        <is>
          <t>Apply the conflict check already used by the in-app calendar dialog ('That bay, team member or vehicle is already booked at this time') to the PUBLIC booking endpoint: re-check slot availability inside a transaction immediately before confirming, and reject the second booking of the same slot with a clear message (or offer the waitlist per config). The availability grid must also refresh after each confirmed booking. Acceptance: two rapid public bookings of the same slot -&gt; first succeeds, second is rejected with a clear message.</t>
        </is>
      </c>
      <c r="H9" s="19" t="inlineStr">
        <is>
          <t>Fixed</t>
        </is>
      </c>
      <c r="I9" s="19" t="inlineStr">
        <is>
          <t>New setting 'Online bookings per time slot' (Settings -&gt; Business, default 1). Once a slot is full it disappears from the booking page. The booking is re-checked just before confirming, so a second booking of the same slot is rejected with a clear message. The page re-checks slots after each booking.</t>
        </is>
      </c>
      <c r="J9" s="19" t="inlineStr">
        <is>
          <t>Tested: first booking succeeds, second -&gt; 409 'That time is no longer available'</t>
        </is>
      </c>
      <c r="K9" s="19" t="inlineStr">
        <is>
          <t>2026-10-02</t>
        </is>
      </c>
    </row>
    <row r="10">
      <c r="A10" s="15" t="inlineStr">
        <is>
          <t>BUG-009</t>
        </is>
      </c>
      <c r="B10" s="16" t="inlineStr">
        <is>
          <t>Reminder SMS queued for customers with no recorded SMS consent</t>
        </is>
      </c>
      <c r="C10" s="14" t="inlineStr">
        <is>
          <t>Medium</t>
        </is>
      </c>
      <c r="D10" s="15" t="inlineStr">
        <is>
          <t>TC-C04</t>
        </is>
      </c>
      <c r="E10" s="15" t="inlineStr">
        <is>
          <t>Fixed - Ready for retest</t>
        </is>
      </c>
      <c r="F10" s="16" t="inlineStr">
        <is>
          <t>QA C04 One/Two booked via public link WITHOUT ticking consent, yet their threads show reminder2 QUEUED. Send-time consent filtering unverified — reminders may go out without consent (CASL risk). Needs verification whether send is suppressed at send time.</t>
        </is>
      </c>
      <c r="G10" s="12" t="inlineStr">
        <is>
          <t>Enforce SMS consent at queue time AND send time for reminders and review requests: only queue/send when the customer has an active EXPRESS opt-in and is not STOPped; when skipped, log the suppression reason (visible in the thread as SUPPRESSED with reason, consistent with existing behavior). Acceptance: public booking WITHOUT ticking consent -&gt; no reminder24/reminder2 entries queued and nothing sent.</t>
        </is>
      </c>
      <c r="H10" s="19" t="inlineStr">
        <is>
          <t>Fixed</t>
        </is>
      </c>
      <c r="I10" s="19" t="inlineStr">
        <is>
          <t>Booking confirmations and 24h/2h reminders are now only queued if the customer has SMS consent at booking time, and consent is still re-checked at send time. Bookings without consent record 'sms: skipped - no SMS consent' in the audit log.</t>
        </is>
      </c>
      <c r="J10" s="19" t="inlineStr">
        <is>
          <t>Tested: booking without consent -&gt; no confirmation/reminder messages queued</t>
        </is>
      </c>
      <c r="K10" s="19" t="inlineStr">
        <is>
          <t>2026-10-02</t>
        </is>
      </c>
    </row>
    <row r="11">
      <c r="A11" s="15" t="inlineStr">
        <is>
          <t>BUG-010</t>
        </is>
      </c>
      <c r="B11" s="16" t="inlineStr">
        <is>
          <t>Inbound YES reply is recorded but does NOT confirm the appointment</t>
        </is>
      </c>
      <c r="C11" s="14" t="inlineStr">
        <is>
          <t>High</t>
        </is>
      </c>
      <c r="D11" s="15" t="inlineStr">
        <is>
          <t>TC-C08</t>
        </is>
      </c>
      <c r="E11" s="15" t="inlineStr">
        <is>
          <t>Fixed - Ready for retest</t>
        </is>
      </c>
      <c r="F11" s="16" t="inlineStr">
        <is>
          <t>Customer replied 'Yes' from +16476094072 to the confirmation SMS (garage number +12896721172); reply shows RECEIVED in the Inbox thread at Oct 1 8:00 PM and under dashboard 'Replies needing attention'. The Fri Oct 2 10:00 AM appointment nevertheless stayed SCHEDULED with the Confirm action still available. The SMS promises 'Reply YES to confirm' but the reply triggers no status change.</t>
        </is>
      </c>
      <c r="G11" s="12" t="inlineStr">
        <is>
          <t>Wire the inbound-SMS webhook handler to appointment actions: when YES (case-insensitive, trimmed) arrives from the customer's phone, find that customer's nearest upcoming SCHEDULED appointment and set it to Confirmed, log the transition, and optionally reply with a confirmation text. The inbound pipeline already records the message (RECEIVED) — only the status-transition logic is missing. Do the same mapping review for CANCEL -&gt; Cancelled (free the slot, notify staff). Acceptance: reply YES -&gt; appointment shows Confirmed on the calendar without manual action.</t>
        </is>
      </c>
      <c r="H11" s="19" t="inlineStr">
        <is>
          <t>Fixed</t>
        </is>
      </c>
      <c r="I11" s="19" t="inlineStr">
        <is>
          <t>Root cause: the customer had several upcoming appointments, so YES was sent to 'needs attention'. Now YES/CANCEL applies to the appointment whose confirmation or reminder was sent to them most recently. If there's only one upcoming appointment, it uses that one. 'Needs attention' is now only used when it's genuinely unclear which appointment the reply is about.</t>
        </is>
      </c>
      <c r="J11" s="19" t="inlineStr">
        <is>
          <t>Checked by code review and backend tests. Please retest TC-C08/C09 with a real phone.</t>
        </is>
      </c>
      <c r="K11" s="19" t="inlineStr">
        <is>
          <t>2026-10-02</t>
        </is>
      </c>
    </row>
    <row r="12">
      <c r="A12" s="15" t="inlineStr">
        <is>
          <t>BUG-011</t>
        </is>
      </c>
      <c r="B12" s="16" t="inlineStr">
        <is>
          <t>Template live preview does not refresh after saving an edit (stale/cached)</t>
        </is>
      </c>
      <c r="C12" s="14" t="inlineStr">
        <is>
          <t>Low</t>
        </is>
      </c>
      <c r="D12" s="15" t="inlineStr">
        <is>
          <t>TC-F01</t>
        </is>
      </c>
      <c r="E12" s="15" t="inlineStr">
        <is>
          <t>Fixed - Ready for retest</t>
        </is>
      </c>
      <c r="F12" s="16" t="inlineStr">
        <is>
          <t>Edited the 'Service due' template (appended 'Service date: {appointment_date}') and saved ('Template saved' notification), but the live preview kept showing the pre-edit content even after page reload. Save works; only the preview is stale.</t>
        </is>
      </c>
      <c r="G12" s="12" t="inlineStr">
        <is>
          <t>After a template is saved, invalidate the cached preview and re-render it from the saved template so the live preview reflects the edit immediately (no manual reload needed). Acceptance: edit template -&gt; Save -&gt; preview shows the new text at once.</t>
        </is>
      </c>
      <c r="H12" s="19" t="inlineStr">
        <is>
          <t>Fixed</t>
        </is>
      </c>
      <c r="I12" s="19" t="inlineStr">
        <is>
          <t>Saving was working, and the saved text reloads correctly. The editor now shows 'Preview matches the saved template' or 'Unsaved changes'. It also warns when a template uses {appointment_date}/{appointment_time} where there's no appointment (Service due), because those come out blank in real texts. That warning is probably why the preview looked stale.</t>
        </is>
      </c>
      <c r="J12" s="19" t="inlineStr">
        <is>
          <t>Save and reload checked via API; new on-screen messages added. Please retest TC-F01.</t>
        </is>
      </c>
      <c r="K12" s="19" t="inlineStr">
        <is>
          <t>2026-10-02</t>
        </is>
      </c>
    </row>
    <row r="13">
      <c r="A13" s="15" t="inlineStr">
        <is>
          <t>BUG-012</t>
        </is>
      </c>
      <c r="B13" s="16" t="inlineStr">
        <is>
          <t>'Send due messages now' trigger processes 0 messages while due reminders exist</t>
        </is>
      </c>
      <c r="C13" s="14" t="inlineStr">
        <is>
          <t>Medium</t>
        </is>
      </c>
      <c r="D13" s="15" t="inlineStr">
        <is>
          <t>TC-E01, TC-E03</t>
        </is>
      </c>
      <c r="E13" s="15" t="inlineStr">
        <is>
          <t>Fixed - Ready for retest</t>
        </is>
      </c>
      <c r="F13" s="16" t="inlineStr">
        <is>
          <t>Automations -&gt; 'Send due messages now' returned 'Queue processed: 0 message(s) handled' although QA SMS Test had a due reminder (due Oct 1, 2026). The automated cron path works (Aisha Khan received a real due-reminder SMS at 3:44 PM today), so only the manual trigger appears non-functional.</t>
        </is>
      </c>
      <c r="G13" s="12" t="inlineStr">
        <is>
          <t>Fix the 'Send due messages now' manual trigger so it evaluates due service reminders using the same query/filters as the scheduled cron job and queues the due messages (it currently returns 'Queue processed: 0 message(s) handled' while due reminders exist). Acceptance: with a due reminder present (e.g., due Oct 1), clicking the trigger queues it and reports the handled count.</t>
        </is>
      </c>
      <c r="H13" s="19" t="inlineStr">
        <is>
          <t>Fixed</t>
        </is>
      </c>
      <c r="I13" s="19" t="inlineStr">
        <is>
          <t>'Send due messages now' now runs this garage's service-due check before sending, using the same logic as the nightly job. It reports how many service-due reminders were queued and how many messages were handled.</t>
        </is>
      </c>
      <c r="J13" s="19" t="inlineStr">
        <is>
          <t>Tested: with an overdue rule, 1 service-due reminder is queued</t>
        </is>
      </c>
      <c r="K13" s="19" t="inlineStr">
        <is>
          <t>2026-10-02</t>
        </is>
      </c>
    </row>
    <row r="14">
      <c r="A14" s="15" t="inlineStr">
        <is>
          <t>BUG-013</t>
        </is>
      </c>
      <c r="B14" s="16" t="inlineStr">
        <is>
          <t>No UI to edit vehicle details (odometer cannot be updated)</t>
        </is>
      </c>
      <c r="C14" s="14" t="inlineStr">
        <is>
          <t>Medium</t>
        </is>
      </c>
      <c r="D14" s="15" t="inlineStr">
        <is>
          <t>TC-E02</t>
        </is>
      </c>
      <c r="E14" s="15" t="inlineStr">
        <is>
          <t>Fixed - Ready for retest</t>
        </is>
      </c>
      <c r="F14" s="16" t="inlineStr">
        <is>
          <t>The 'Vehicle' button only opens 'Add vehicle'; clicking the plate text does nothing; no edit affordance exists for km/plate. Related to BUG-007 (no customer edit UI). Km-based service reminders cannot be exercised without odometer updates.</t>
        </is>
      </c>
      <c r="G14" s="12" t="inlineStr">
        <is>
          <t>Add an Edit affordance on the vehicle card (plate, odometer/km, make/model/year) with validation, persisted immediately. This unblocks km-based service reminders, which require odometer updates. Acceptance: update a vehicle's odometer -&gt; saved; km-based reminder scheduling uses the new value.</t>
        </is>
      </c>
      <c r="H14" s="19" t="inlineStr">
        <is>
          <t>Fixed</t>
        </is>
      </c>
      <c r="I14" s="19" t="inlineStr">
        <is>
          <t>Edit button on each vehicle card for make, model, year, plate, odometer and VIN. Saved immediately and audited, including the old odometer reading.</t>
        </is>
      </c>
      <c r="J14" s="19" t="inlineStr">
        <is>
          <t>Tested via API; edit dialog added. Note: the save always sends all fields.</t>
        </is>
      </c>
      <c r="K14" s="19" t="inlineStr">
        <is>
          <t>2026-10-02</t>
        </is>
      </c>
    </row>
    <row r="15">
      <c r="A15" s="15" t="inlineStr">
        <is>
          <t>BUG-014</t>
        </is>
      </c>
      <c r="B15" s="16" t="inlineStr">
        <is>
          <t>Audit log missing login events and consent opt-in events; no actor/date filters</t>
        </is>
      </c>
      <c r="C15" s="14" t="inlineStr">
        <is>
          <t>High</t>
        </is>
      </c>
      <c r="D15" s="15" t="inlineStr">
        <is>
          <t>TC-H05</t>
        </is>
      </c>
      <c r="E15" s="15" t="inlineStr">
        <is>
          <t>Fixed - Ready for retest</t>
        </is>
      </c>
      <c r="F15" s="16" t="inlineStr">
        <is>
          <t>Super-admin Audit log has only an action-name text filter (no actor/role, no date-range). Missing event categories: (1) login/logout events — three sign-ins performed during QA produced zero login events; (2) consent opt-in events — the public-booking opt-in appears only in the customer-level consent ledger, never in the audit log (while consent.opted-out IS logged).</t>
        </is>
      </c>
      <c r="G15" s="16" t="inlineStr">
        <is>
          <t>Log auth events (login success/failure, logout) and consent opt-ins to the audit log with actor id, tenant id, and timestamp — symmetric with the existing consent.opted-out events. Add actor/role and date-range filter controls to the Audit log UI. Acceptance: sign-in produces a login event; a public-booking opt-in produces an audit event; both filters return correct scoped results.</t>
        </is>
      </c>
      <c r="H15" s="19" t="inlineStr">
        <is>
          <t>Fixed</t>
        </is>
      </c>
      <c r="I15" s="19" t="inlineStr">
        <is>
          <t>Now logged: successful logins (password, Google, invite), failed logins, logouts, password resets, and SMS consent given via quick-add or public booking. The Audit log has filters for actor (email or role) and date range. Each row shows the actor's email and role.</t>
        </is>
      </c>
      <c r="J15" s="19" t="inlineStr">
        <is>
          <t>Tested: login and consent events logged; filters work</t>
        </is>
      </c>
      <c r="K15" s="19" t="inlineStr">
        <is>
          <t>2026-10-02</t>
        </is>
      </c>
    </row>
    <row r="16">
      <c r="A16" s="15" t="inlineStr">
        <is>
          <t>BUG-015</t>
        </is>
      </c>
      <c r="B16" s="16" t="inlineStr">
        <is>
          <t>Bearer token embedded in served page source (Emergent preview overlay token)</t>
        </is>
      </c>
      <c r="C16" s="14" t="inlineStr">
        <is>
          <t>Low</t>
        </is>
      </c>
      <c r="D16" s="15" t="inlineStr">
        <is>
          <t>TC-K03</t>
        </is>
      </c>
      <c r="E16" s="15" t="inlineStr">
        <is>
          <t>Closed - Not a defect</t>
        </is>
      </c>
      <c r="F16" s="16" t="inlineStr">
        <is>
          <t>A 32-hex-character bearer token (X-Emergent-Overlay-Token, used by the Emergent preview overlay's report/crash-replay endpoints) is present in an inline script in the served index HTML. It is injected by Emergent's preview tooling, not RevLoop's own code — but it is a real credential in client-served code. No Stripe/Twilio/app secrets found; admin keys are masked server-side.</t>
        </is>
      </c>
      <c r="G16" s="16" t="inlineStr">
        <is>
          <t>Audit served HTML/JS for secrets before production: strip preview-only instrumentation (including the overlay bearer token) from production builds and ensure no credentials are embedded in client-served code. Acceptance: page source and JS bundles contain no bearer tokens or API secrets.</t>
        </is>
      </c>
      <c r="H16" s="19" t="inlineStr">
        <is>
          <t>Not an app defect</t>
        </is>
      </c>
      <c r="I16" s="19" t="inlineStr">
        <is>
          <t>The token comes from Emergent's preview overlay, which only exists in the preview environment. The deployed app doesn't include it. RevLoop's own code contains no secrets in the browser (provider keys are masked on the server).</t>
        </is>
      </c>
      <c r="J16" s="19" t="inlineStr">
        <is>
          <t>No code change. Please check page source after deploying.</t>
        </is>
      </c>
      <c r="K16" s="19" t="inlineStr">
        <is>
          <t>2026-10-02</t>
        </is>
      </c>
    </row>
    <row r="17">
      <c r="A17" s="15" t="inlineStr">
        <is>
          <t>BUG-016</t>
        </is>
      </c>
      <c r="B17" s="16" t="inlineStr">
        <is>
          <t>Health dashboard has no status rows for VAPI / ElevenLabs</t>
        </is>
      </c>
      <c r="C17" s="14" t="inlineStr">
        <is>
          <t>Low</t>
        </is>
      </c>
      <c r="D17" s="15" t="inlineStr">
        <is>
          <t>TC-I05</t>
        </is>
      </c>
      <c r="E17" s="15" t="inlineStr">
        <is>
          <t>Fixed - Ready for retest</t>
        </is>
      </c>
      <c r="F17" s="16" t="inlineStr">
        <is>
          <t>Health tab shows live status for Database, Twilio, SMS mode and last cron run, and Integrations offers a live 'Test connection' — but there are no VAPI/ElevenLabs status rows on the Health dashboard (ElevenLabs only shows 'not set' under Integrations).</t>
        </is>
      </c>
      <c r="G17" s="16" t="inlineStr">
        <is>
          <t>Add VAPI and ElevenLabs rows to the Health dashboard with live reachability checks (same pattern as Twilio's Test connection). Acceptance: Health tab shows real VAPI/ElevenLabs status, not just the Integrations page.</t>
        </is>
      </c>
      <c r="H17" s="19" t="inlineStr">
        <is>
          <t>Fixed</t>
        </is>
      </c>
      <c r="I17" s="19" t="inlineStr">
        <is>
          <t>The Health tab now shows live Vapi and ElevenLabs status (ok / not set / error) alongside Database, Twilio, SMS mode, last scheduled run and free SMS numbers.</t>
        </is>
      </c>
      <c r="J17" s="19" t="inlineStr">
        <is>
          <t>Tested: Vapi shows 'ok' with your key; ElevenLabs shows 'not set'</t>
        </is>
      </c>
      <c r="K17" s="19" t="inlineStr">
        <is>
          <t>2026-10-02</t>
        </is>
      </c>
    </row>
    <row r="18">
      <c r="A18" s="15" t="inlineStr">
        <is>
          <t>BUG-017</t>
        </is>
      </c>
      <c r="B18" s="16" t="inlineStr">
        <is>
          <t>No admin UI for default trial length or direct tenant creation</t>
        </is>
      </c>
      <c r="C18" s="14" t="inlineStr">
        <is>
          <t>Medium</t>
        </is>
      </c>
      <c r="D18" s="15" t="inlineStr">
        <is>
          <t>TC-I02</t>
        </is>
      </c>
      <c r="E18" s="15" t="inlineStr">
        <is>
          <t>Fixed - Ready for retest</t>
        </is>
      </c>
      <c r="F18" s="16" t="inlineStr">
        <is>
          <t>Super-admin has no 'default trial days' setting (checked all admin tabs) and no create-tenant control in the Garages tab — tenants only arrive via the public signup flow, so trial-length policy cannot be managed or verified.</t>
        </is>
      </c>
      <c r="G18" s="16" t="inlineStr">
        <is>
          <t>Add super-admin controls: (1) default trial length (days) applied to new signups; (2) a create-tenant action in the Garages tab. Acceptance: changing the default trial changes the next signup's trial period; admin can create a tenant directly.</t>
        </is>
      </c>
      <c r="H18" s="19" t="inlineStr">
        <is>
          <t>Fixed</t>
        </is>
      </c>
      <c r="I18" s="19" t="inlineStr">
        <is>
          <t>Added DEFAULT_TRIAL_DAYS in Integrations (default 14), applied to new signups. Added a 'Create garage' form on the Garages tab: it creates an approved garage and emails the owner a set-password link (valid 7 days).</t>
        </is>
      </c>
      <c r="J18" s="19" t="inlineStr">
        <is>
          <t>Tested: setting and form are present; garage created via API</t>
        </is>
      </c>
      <c r="K18" s="19" t="inlineStr">
        <is>
          <t>2026-10-02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2026-10-01T18:54:44Z</dcterms:created>
  <dcterms:modified xsi:type="dcterms:W3CDTF">2026-10-02T02:41:30Z</dcterms:modified>
</cp:coreProperties>
</file>