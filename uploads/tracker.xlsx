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on Tracker" sheetId="1" state="visible" r:id="rId1"/>
    <sheet xmlns:r="http://schemas.openxmlformats.org/officeDocument/2006/relationships" name="Summary" sheetId="2" state="visible" r:id="rId2"/>
    <sheet xmlns:r="http://schemas.openxmlformats.org/officeDocument/2006/relationships" name="Defects" sheetId="3" state="visible" r:id="rId3"/>
  </sheets>
  <definedNames>
    <definedName name="_xlnm._FilterDatabase" localSheetId="0" hidden="1">'Execution Tracker'!$A$1:$L$1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00FFFFFF"/>
      <sz val="10"/>
    </font>
    <font>
      <sz val="9"/>
    </font>
    <font>
      <b val="1"/>
      <color rgb="00C00000"/>
      <sz val="9"/>
    </font>
    <font>
      <b val="1"/>
      <color rgb="00ED7D31"/>
      <sz val="9"/>
    </font>
    <font>
      <b val="1"/>
      <color rgb="00404040"/>
      <sz val="9"/>
    </font>
    <font>
      <b val="1"/>
      <sz val="14"/>
    </font>
    <font>
      <b val="1"/>
      <sz val="11"/>
    </font>
    <font>
      <b val="1"/>
      <sz val="12"/>
    </font>
    <font>
      <i val="1"/>
      <color rgb="00555555"/>
    </font>
    <font>
      <b val="1"/>
      <color rgb="00006100"/>
      <sz val="9"/>
    </font>
    <font>
      <b val="1"/>
      <color rgb="009C0006"/>
      <sz val="9"/>
    </font>
    <font>
      <color rgb="00000000"/>
      <sz val="9"/>
    </font>
    <font>
      <b val="1"/>
      <color rgb="007F6000"/>
      <sz val="9"/>
    </font>
  </fonts>
  <fills count="3">
    <fill>
      <patternFill/>
    </fill>
    <fill>
      <patternFill patternType="gray125"/>
    </fill>
    <fill>
      <patternFill patternType="solid">
        <fgColor rgb="001F4E79"/>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0" borderId="1" applyAlignment="1" pivotButton="0" quotePrefix="0" xfId="0">
      <alignment horizontal="center" vertical="top" wrapText="1"/>
    </xf>
    <xf numFmtId="0" fontId="4" fillId="0" borderId="1" applyAlignment="1" pivotButton="0" quotePrefix="0" xfId="0">
      <alignment horizontal="center" vertical="top" wrapText="1"/>
    </xf>
    <xf numFmtId="0" fontId="5" fillId="0" borderId="1" applyAlignment="1" pivotButton="0" quotePrefix="0" xfId="0">
      <alignment horizontal="center" vertical="top" wrapText="1"/>
    </xf>
    <xf numFmtId="0" fontId="6" fillId="0" borderId="0" pivotButton="0" quotePrefix="0" xfId="0"/>
    <xf numFmtId="0" fontId="7" fillId="0" borderId="0" pivotButton="0" quotePrefix="0" xfId="0"/>
    <xf numFmtId="0" fontId="8" fillId="0" borderId="0" applyAlignment="1" pivotButton="0" quotePrefix="0" xfId="0">
      <alignment horizontal="center"/>
    </xf>
    <xf numFmtId="0" fontId="9" fillId="0" borderId="0" pivotButton="0" quotePrefix="0" xfId="0"/>
    <xf numFmtId="0" fontId="10" fillId="0" borderId="1" applyAlignment="1" pivotButton="0" quotePrefix="0" xfId="0">
      <alignment horizontal="center" vertical="top" wrapText="1"/>
    </xf>
    <xf numFmtId="0" fontId="2" fillId="0" borderId="1" applyAlignment="1" pivotButton="0" quotePrefix="0" xfId="0">
      <alignment vertical="top" wrapText="1"/>
    </xf>
    <xf numFmtId="0" fontId="2" fillId="0" borderId="1" applyAlignment="1" pivotButton="0" quotePrefix="0" xfId="0">
      <alignment horizontal="center" vertical="top"/>
    </xf>
    <xf numFmtId="0" fontId="11" fillId="0" borderId="1" applyAlignment="1" pivotButton="0" quotePrefix="0" xfId="0">
      <alignment horizontal="center" vertical="top" wrapText="1"/>
    </xf>
    <xf numFmtId="0" fontId="12" fillId="0" borderId="1" applyAlignment="1" pivotButton="0" quotePrefix="0" xfId="0">
      <alignment horizontal="center" vertical="top" wrapText="1"/>
    </xf>
    <xf numFmtId="0" fontId="12" fillId="0" borderId="1" applyAlignment="1" pivotButton="0" quotePrefix="0" xfId="0">
      <alignment horizontal="left" vertical="top" wrapText="1"/>
    </xf>
    <xf numFmtId="0" fontId="13"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L65"/>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30" customWidth="1" min="3" max="3"/>
    <col width="28" customWidth="1" min="4" max="4"/>
    <col width="45" customWidth="1" min="5" max="5"/>
    <col width="45" customWidth="1" min="6" max="6"/>
    <col width="9" customWidth="1" min="7" max="7"/>
    <col width="11" customWidth="1" min="8" max="8"/>
    <col width="30" customWidth="1" min="9" max="9"/>
    <col width="10" customWidth="1" min="10" max="10"/>
    <col width="13" customWidth="1" min="11" max="11"/>
    <col width="25" customWidth="1" min="12" max="12"/>
  </cols>
  <sheetData>
    <row r="1" ht="30" customHeight="1">
      <c r="A1" s="1" t="inlineStr">
        <is>
          <t>Section</t>
        </is>
      </c>
      <c r="B1" s="1" t="inlineStr">
        <is>
          <t>TC ID</t>
        </is>
      </c>
      <c r="C1" s="1" t="inlineStr">
        <is>
          <t>Scenario</t>
        </is>
      </c>
      <c r="D1" s="1" t="inlineStr">
        <is>
          <t>Preconditions</t>
        </is>
      </c>
      <c r="E1" s="1" t="inlineStr">
        <is>
          <t>Test Steps</t>
        </is>
      </c>
      <c r="F1" s="1" t="inlineStr">
        <is>
          <t>Expected Result</t>
        </is>
      </c>
      <c r="G1" s="1" t="inlineStr">
        <is>
          <t>Priority</t>
        </is>
      </c>
      <c r="H1" s="1" t="inlineStr">
        <is>
          <t>Status</t>
        </is>
      </c>
      <c r="I1" s="1" t="inlineStr">
        <is>
          <t>Actual Result</t>
        </is>
      </c>
      <c r="J1" s="1" t="inlineStr">
        <is>
          <t>Defect ID</t>
        </is>
      </c>
      <c r="K1" s="1" t="inlineStr">
        <is>
          <t>Executed On</t>
        </is>
      </c>
      <c r="L1" s="1" t="inlineStr">
        <is>
          <t>Notes</t>
        </is>
      </c>
    </row>
    <row r="2">
      <c r="A2" s="2" t="inlineStr">
        <is>
          <t>6.1 Authentication &amp; authorization</t>
        </is>
      </c>
      <c r="B2" s="2" t="inlineStr">
        <is>
          <t>TC-A01</t>
        </is>
      </c>
      <c r="C2" s="3" t="inlineStr">
        <is>
          <t>Garage owner signup &amp; onboarding checklist</t>
        </is>
      </c>
      <c r="D2" s="3" t="inlineStr">
        <is>
          <t>None</t>
        </is>
      </c>
      <c r="E2" s="3" t="inlineStr">
        <is>
          <t>1. Sign up with a new email 2. Verify email 3. Complete onboarding: business profile, Twilio number assignment, add first customer 4. Reach dashboard</t>
        </is>
      </c>
      <c r="F2" s="3" t="inlineStr">
        <is>
          <t>Account created; checklist ticks off each step; dashboard loads with the assigned Twilio number visible</t>
        </is>
      </c>
      <c r="G2" s="4" t="inlineStr">
        <is>
          <t>P0</t>
        </is>
      </c>
      <c r="H2" s="11" t="inlineStr">
        <is>
          <t>Pass</t>
        </is>
      </c>
      <c r="I2" s="12" t="inlineStr">
        <is>
          <t>Signup OK (surathpar+revlooptest@gmail.com); no email verification required. Onboarding checklist ticked: address, Google review link, services, first customer. 'Garage approved' and 'Dedicated SMS number assigned' remain UNTICKED — admin number pool is EMPTY ('No free numbers in pool'), so no number can be assigned.</t>
        </is>
      </c>
      <c r="J2" s="2" t="inlineStr">
        <is>
          <t>BUG-006</t>
        </is>
      </c>
      <c r="K2" s="13" t="inlineStr">
        <is>
          <t>2026-10-01</t>
        </is>
      </c>
      <c r="L2" s="3" t="inlineStr"/>
    </row>
    <row r="3">
      <c r="A3" s="2" t="inlineStr">
        <is>
          <t>6.1 Authentication &amp; authorization</t>
        </is>
      </c>
      <c r="B3" s="2" t="inlineStr">
        <is>
          <t>TC-A02</t>
        </is>
      </c>
      <c r="C3" s="3" t="inlineStr">
        <is>
          <t>Staff invite &amp; role restrictions</t>
        </is>
      </c>
      <c r="D3" s="3" t="inlineStr">
        <is>
          <t>Owner account active</t>
        </is>
      </c>
      <c r="E3" s="3" t="inlineStr">
        <is>
          <t>1. Owner invites staff by email 2. Staff accepts &amp; logs in 3. Use CRM, calendar, conversations 4. Try Settings, Billing, SMS Templates</t>
        </is>
      </c>
      <c r="F3" s="3" t="inlineStr">
        <is>
          <t>Allowed areas work; Settings/Billing/Templates return 403 (not just hidden links)</t>
        </is>
      </c>
      <c r="G3" s="4" t="inlineStr">
        <is>
          <t>P0</t>
        </is>
      </c>
      <c r="H3" s="14" t="inlineStr">
        <is>
          <t>Fail</t>
        </is>
      </c>
      <c r="I3" s="12" t="inlineStr">
        <is>
          <t>Invite sent to surathpar+revloopstaff@gmail.com (pending, not accepted). Staff login works; Calendar/Customers/Inbox load; menu shows only allowed areas. BUT direct URLs /settings, /templates, /billing silently REDIRECT to /calendar instead of returning 403.</t>
        </is>
      </c>
      <c r="J3" s="2" t="inlineStr">
        <is>
          <t>BUG-001</t>
        </is>
      </c>
      <c r="K3" s="13" t="inlineStr">
        <is>
          <t>2026-10-01</t>
        </is>
      </c>
      <c r="L3" s="3" t="inlineStr"/>
    </row>
    <row r="4">
      <c r="A4" s="2" t="inlineStr">
        <is>
          <t>6.1 Authentication &amp; authorization</t>
        </is>
      </c>
      <c r="B4" s="2" t="inlineStr">
        <is>
          <t>TC-A03</t>
        </is>
      </c>
      <c r="C4" s="3" t="inlineStr">
        <is>
          <t>Staff direct-URL access to billing</t>
        </is>
      </c>
      <c r="D4" s="3" t="inlineStr">
        <is>
          <t>Staff logged in</t>
        </is>
      </c>
      <c r="E4" s="3" t="inlineStr">
        <is>
          <t>Navigate directly to the billing/settings URL</t>
        </is>
      </c>
      <c r="F4" s="3" t="inlineStr">
        <is>
          <t>403 page; attempt written to audit log</t>
        </is>
      </c>
      <c r="G4" s="4" t="inlineStr">
        <is>
          <t>P0</t>
        </is>
      </c>
      <c r="H4" s="14" t="inlineStr">
        <is>
          <t>Fail</t>
        </is>
      </c>
      <c r="I4" s="12" t="inlineStr">
        <is>
          <t>Direct navigation to /billing as staff redirects to /calendar — no 403 page. No audit-log entry for the attempt (verified in super-admin Audit log).</t>
        </is>
      </c>
      <c r="J4" s="2" t="inlineStr">
        <is>
          <t>BUG-001, BUG-002</t>
        </is>
      </c>
      <c r="K4" s="13" t="inlineStr">
        <is>
          <t>2026-10-01</t>
        </is>
      </c>
      <c r="L4" s="3" t="inlineStr"/>
    </row>
    <row r="5">
      <c r="A5" s="2" t="inlineStr">
        <is>
          <t>6.1 Authentication &amp; authorization</t>
        </is>
      </c>
      <c r="B5" s="2" t="inlineStr">
        <is>
          <t>TC-A04</t>
        </is>
      </c>
      <c r="C5" s="3" t="inlineStr">
        <is>
          <t>Cross-tenant isolation</t>
        </is>
      </c>
      <c r="D5" s="3" t="inlineStr">
        <is>
          <t>Garages A and B exist</t>
        </is>
      </c>
      <c r="E5" s="3" t="inlineStr">
        <is>
          <t>As Garage A owner, open a Garage B customer/booking URL by editing the ID</t>
        </is>
      </c>
      <c r="F5" s="3" t="inlineStr">
        <is>
          <t>403; no Garage B data leaked; audit log entry</t>
        </is>
      </c>
      <c r="G5" s="4" t="inlineStr">
        <is>
          <t>P0</t>
        </is>
      </c>
      <c r="H5" s="14" t="inlineStr">
        <is>
          <t>Fail</t>
        </is>
      </c>
      <c r="I5" s="12" t="inlineStr">
        <is>
          <t>Opened other tenant's customer URL as Demo Auto Toronto owner: shows 'Customer not found' — no data leaked (isolation holds), but no 403 page and no audit-log entry.</t>
        </is>
      </c>
      <c r="J5" s="2" t="inlineStr">
        <is>
          <t>BUG-002, BUG-003</t>
        </is>
      </c>
      <c r="K5" s="13" t="inlineStr">
        <is>
          <t>2026-10-01</t>
        </is>
      </c>
      <c r="L5" s="3" t="inlineStr"/>
    </row>
    <row r="6">
      <c r="A6" s="2" t="inlineStr">
        <is>
          <t>6.1 Authentication &amp; authorization</t>
        </is>
      </c>
      <c r="B6" s="2" t="inlineStr">
        <is>
          <t>TC-A05</t>
        </is>
      </c>
      <c r="C6" s="3" t="inlineStr">
        <is>
          <t>Admin impersonation with audit</t>
        </is>
      </c>
      <c r="D6" s="3" t="inlineStr">
        <is>
          <t>Admin account</t>
        </is>
      </c>
      <c r="E6" s="3" t="inlineStr">
        <is>
          <t>1. Admin starts impersonation of a garage owner 2. Perform an action 3. End impersonation</t>
        </is>
      </c>
      <c r="F6" s="3" t="inlineStr">
        <is>
          <t>Visible impersonation banner; every action logged under the admin's identity</t>
        </is>
      </c>
      <c r="G6" s="5" t="inlineStr">
        <is>
          <t>P1</t>
        </is>
      </c>
      <c r="H6" s="11" t="inlineStr">
        <is>
          <t>Pass</t>
        </is>
      </c>
      <c r="I6" s="12" t="inlineStr">
        <is>
          <t>Support login required a reason (&gt;=10 chars); banner 'Support mode: viewing Demo Auto Toronto. All actions are audited.' shown with Exit button; start/stop logged under admin identity.</t>
        </is>
      </c>
      <c r="J6" s="2" t="inlineStr"/>
      <c r="K6" s="13" t="inlineStr">
        <is>
          <t>2026-10-01</t>
        </is>
      </c>
      <c r="L6" s="3" t="inlineStr"/>
    </row>
    <row r="7">
      <c r="A7" s="2" t="inlineStr">
        <is>
          <t>6.1 Authentication &amp; authorization</t>
        </is>
      </c>
      <c r="B7" s="2" t="inlineStr">
        <is>
          <t>TC-A06</t>
        </is>
      </c>
      <c r="C7" s="3" t="inlineStr">
        <is>
          <t>Session timeout &amp; password reset</t>
        </is>
      </c>
      <c r="D7" s="3" t="inlineStr">
        <is>
          <t>Active login</t>
        </is>
      </c>
      <c r="E7" s="3" t="inlineStr">
        <is>
          <t>1. Idle past the timeout 2. Use 'forgot password' and reset via email link</t>
        </is>
      </c>
      <c r="F7" s="3" t="inlineStr">
        <is>
          <t>Logged out after timeout; old sessions invalidated after reset</t>
        </is>
      </c>
      <c r="G7" s="5" t="inlineStr">
        <is>
          <t>P1</t>
        </is>
      </c>
      <c r="H7" s="14" t="inlineStr">
        <is>
          <t>Fail</t>
        </is>
      </c>
      <c r="I7" s="12" t="inlineStr">
        <is>
          <t>Session timeout: NO timeout setting found in admin or garage settings; sessions persisted ~25 min; expiry unverifiable. Password reset: NO forgot-password link on login page; /forgot-password and /reset-password both redirect to /login — reset flow does not exist.</t>
        </is>
      </c>
      <c r="J7" s="2" t="inlineStr">
        <is>
          <t>BUG-004, BUG-005</t>
        </is>
      </c>
      <c r="K7" s="13" t="inlineStr">
        <is>
          <t>2026-10-01</t>
        </is>
      </c>
      <c r="L7" s="3" t="inlineStr"/>
    </row>
    <row r="8">
      <c r="A8" s="2" t="inlineStr">
        <is>
          <t>6.2 CRM, vehicles &amp; CSV import</t>
        </is>
      </c>
      <c r="B8" s="2" t="inlineStr">
        <is>
          <t>TC-B01</t>
        </is>
      </c>
      <c r="C8" s="3" t="inlineStr">
        <is>
          <t>Add / edit / search customer</t>
        </is>
      </c>
      <c r="D8" s="3" t="inlineStr">
        <is>
          <t>Owner logged in</t>
        </is>
      </c>
      <c r="E8" s="3" t="inlineStr">
        <is>
          <t>1. Add customer (name, phone, email) 2. Edit phone 3. Search by name and by phone</t>
        </is>
      </c>
      <c r="F8" s="3" t="inlineStr">
        <is>
          <t>Customer saved; edits persist; search finds it both ways</t>
        </is>
      </c>
      <c r="G8" s="4" t="inlineStr">
        <is>
          <t>P0</t>
        </is>
      </c>
      <c r="H8" s="14" t="inlineStr">
        <is>
          <t>Fail</t>
        </is>
      </c>
      <c r="I8" s="12" t="inlineStr">
        <is>
          <t>Customer 'QA B01 Test' (+15550102222, qa.b01@example.com, vehicle 2020 TestMake TestModel QA0123) saved; search by name and phone both work. BUT there is NO UI to edit a customer's name/phone/email — profile page has only Consent / Vehicle / Book buttons; list rows are plain links.</t>
        </is>
      </c>
      <c r="J8" s="2" t="inlineStr">
        <is>
          <t>BUG-007</t>
        </is>
      </c>
      <c r="K8" s="13" t="inlineStr">
        <is>
          <t>2026-10-01</t>
        </is>
      </c>
      <c r="L8" s="3" t="inlineStr"/>
    </row>
    <row r="9">
      <c r="A9" s="2" t="inlineStr">
        <is>
          <t>6.2 CRM, vehicles &amp; CSV import</t>
        </is>
      </c>
      <c r="B9" s="2" t="inlineStr">
        <is>
          <t>TC-B02</t>
        </is>
      </c>
      <c r="C9" s="3" t="inlineStr">
        <is>
          <t>Vehicle + service history</t>
        </is>
      </c>
      <c r="D9" s="3" t="inlineStr">
        <is>
          <t>Customer exists</t>
        </is>
      </c>
      <c r="E9" s="3" t="inlineStr">
        <is>
          <t>1. Add vehicle (make/model/year/plate/km) 2. Add service record (date, job, cost) 3. Open history timeline</t>
        </is>
      </c>
      <c r="F9" s="3" t="inlineStr">
        <is>
          <t>Vehicle linked to customer; service history shows newest-first with totals</t>
        </is>
      </c>
      <c r="G9" s="4" t="inlineStr">
        <is>
          <t>P0</t>
        </is>
      </c>
      <c r="H9" s="11" t="inlineStr">
        <is>
          <t>Pass</t>
        </is>
      </c>
      <c r="I9" s="12" t="inlineStr">
        <is>
          <t>Added 2019 Honda Civic (QA2019, 45,200 km) + 2 service records via completing appointments (Oil &amp; filter $89.95, Tire change $120.00). SERVICE HISTORY newest-first with per-record costs. Notes: no aggregate Total row; history shows completing user (Dev Patel) not assigned tech; past-dated appointments rejected so records only via completing future appointments.</t>
        </is>
      </c>
      <c r="J9" s="2" t="inlineStr"/>
      <c r="K9" s="13" t="inlineStr">
        <is>
          <t>2026-10-01</t>
        </is>
      </c>
      <c r="L9" s="3" t="inlineStr"/>
    </row>
    <row r="10">
      <c r="A10" s="2" t="inlineStr">
        <is>
          <t>6.2 CRM, vehicles &amp; CSV import</t>
        </is>
      </c>
      <c r="B10" s="2" t="inlineStr">
        <is>
          <t>TC-B03</t>
        </is>
      </c>
      <c r="C10" s="3" t="inlineStr">
        <is>
          <t>CSV import — happy path</t>
        </is>
      </c>
      <c r="D10" s="3" t="inlineStr">
        <is>
          <t>Clean CSV with 10 new customers</t>
        </is>
      </c>
      <c r="E10" s="3" t="inlineStr">
        <is>
          <t>Upload via Import; map columns; run</t>
        </is>
      </c>
      <c r="F10" s="3" t="inlineStr">
        <is>
          <t>10 customers created; import summary shows 10 added / 0 skipped / 0 errors</t>
        </is>
      </c>
      <c r="G10" s="4" t="inlineStr">
        <is>
          <t>P0</t>
        </is>
      </c>
      <c r="H10" s="17" t="inlineStr">
        <is>
          <t>Blocked</t>
        </is>
      </c>
      <c r="I10" s="12" t="inlineStr">
        <is>
          <t>Tooling limitation: no way to attach a CSV file to the import dialog. Tried: file grants (platform returns 'browser input file is unavailable'), downloading from hosted links (org egress policy blocks the host), data: URLs (crash automation), JS file-input scripting (no JS evaluation in this environment). CSVs are prepared and ready for manual run.</t>
        </is>
      </c>
      <c r="J10" s="2" t="inlineStr"/>
      <c r="K10" s="13" t="inlineStr">
        <is>
          <t>2026-10-01</t>
        </is>
      </c>
      <c r="L10" s="3" t="inlineStr"/>
    </row>
    <row r="11">
      <c r="A11" s="2" t="inlineStr">
        <is>
          <t>6.2 CRM, vehicles &amp; CSV import</t>
        </is>
      </c>
      <c r="B11" s="2" t="inlineStr">
        <is>
          <t>TC-B04</t>
        </is>
      </c>
      <c r="C11" s="3" t="inlineStr">
        <is>
          <t>CSV import — duplicate phones skipped</t>
        </is>
      </c>
      <c r="D11" s="3" t="inlineStr">
        <is>
          <t>2 rows share a phone with existing customers</t>
        </is>
      </c>
      <c r="E11" s="3" t="inlineStr">
        <is>
          <t>Upload and run import</t>
        </is>
      </c>
      <c r="F11" s="3" t="inlineStr">
        <is>
          <t>Duplicates skipped or merged per spec; report shows exactly which rows and why</t>
        </is>
      </c>
      <c r="G11" s="4" t="inlineStr">
        <is>
          <t>P0</t>
        </is>
      </c>
      <c r="H11" s="17" t="inlineStr">
        <is>
          <t>Blocked</t>
        </is>
      </c>
      <c r="I11" s="12" t="inlineStr">
        <is>
          <t>Same tooling blocker as B03 — import could not be executed. Existing customers +14165551000 (Aisha Khan) and +14165551001 (Ben Martin) confirmed present for the duplicate test when run manually.</t>
        </is>
      </c>
      <c r="J11" s="2" t="inlineStr"/>
      <c r="K11" s="13" t="inlineStr">
        <is>
          <t>2026-10-01</t>
        </is>
      </c>
      <c r="L11" s="3" t="inlineStr"/>
    </row>
    <row r="12">
      <c r="A12" s="2" t="inlineStr">
        <is>
          <t>6.2 CRM, vehicles &amp; CSV import</t>
        </is>
      </c>
      <c r="B12" s="2" t="inlineStr">
        <is>
          <t>TC-B05</t>
        </is>
      </c>
      <c r="C12" s="3" t="inlineStr">
        <is>
          <t>CSV import — malformed rows</t>
        </is>
      </c>
      <c r="D12" s="3" t="inlineStr">
        <is>
          <t>CSV with 2 bad rows (missing phone, bad date)</t>
        </is>
      </c>
      <c r="E12" s="3" t="inlineStr">
        <is>
          <t>Upload and run import</t>
        </is>
      </c>
      <c r="F12" s="3" t="inlineStr">
        <is>
          <t>Bad rows listed with row numbers and reasons; valid rows still import</t>
        </is>
      </c>
      <c r="G12" s="5" t="inlineStr">
        <is>
          <t>P1</t>
        </is>
      </c>
      <c r="H12" s="17" t="inlineStr">
        <is>
          <t>Blocked</t>
        </is>
      </c>
      <c r="I12" s="12" t="inlineStr">
        <is>
          <t>Same tooling blocker as B03 — import could not be executed.</t>
        </is>
      </c>
      <c r="J12" s="2" t="inlineStr"/>
      <c r="K12" s="13" t="inlineStr">
        <is>
          <t>2026-10-01</t>
        </is>
      </c>
      <c r="L12" s="3" t="inlineStr"/>
    </row>
    <row r="13">
      <c r="A13" s="2" t="inlineStr">
        <is>
          <t>6.2 CRM, vehicles &amp; CSV import</t>
        </is>
      </c>
      <c r="B13" s="2" t="inlineStr">
        <is>
          <t>TC-B06</t>
        </is>
      </c>
      <c r="C13" s="3" t="inlineStr">
        <is>
          <t>CASL consent captured at customer creation</t>
        </is>
      </c>
      <c r="D13" s="3" t="inlineStr">
        <is>
          <t>Owner logged in</t>
        </is>
      </c>
      <c r="E13" s="3" t="inlineStr">
        <is>
          <t>Add a customer and tick the consent checkbox</t>
        </is>
      </c>
      <c r="F13" s="3" t="inlineStr">
        <is>
          <t>Consent ledger shows entry: customer, source 'manual', timestamp, opt-in=true</t>
        </is>
      </c>
      <c r="G13" s="4" t="inlineStr">
        <is>
          <t>P0</t>
        </is>
      </c>
      <c r="H13" s="11" t="inlineStr">
        <is>
          <t>Pass</t>
        </is>
      </c>
      <c r="I13" s="12" t="inlineStr">
        <is>
          <t>Created 'QA B06 Test' (+15550106666) via Quick add with SMS consent ticked. Profile Consent log tab shows EXPRESS entry ('staff attestation'), timestamp Oct 1 7:45 PM, accepted=true, full consent text. (Source labeled 'staff attestation' rather than 'manual'.)</t>
        </is>
      </c>
      <c r="J13" s="2" t="inlineStr"/>
      <c r="K13" s="13" t="inlineStr">
        <is>
          <t>2026-10-01</t>
        </is>
      </c>
      <c r="L13" s="3" t="inlineStr"/>
    </row>
    <row r="14">
      <c r="A14" s="2" t="inlineStr">
        <is>
          <t>6.3 Appointments, booking link &amp; SMS reminders</t>
        </is>
      </c>
      <c r="B14" s="2" t="inlineStr">
        <is>
          <t>TC-C01</t>
        </is>
      </c>
      <c r="C14" s="3" t="inlineStr">
        <is>
          <t>Create appointment in calendar</t>
        </is>
      </c>
      <c r="D14" s="3" t="inlineStr">
        <is>
          <t>Owner logged in</t>
        </is>
      </c>
      <c r="E14" s="3" t="inlineStr">
        <is>
          <t>Create appointment for tomorrow 10:00 AM with customer + service</t>
        </is>
      </c>
      <c r="F14" s="3" t="inlineStr">
        <is>
          <t>Appears on calendar; customer linked</t>
        </is>
      </c>
      <c r="G14" s="4" t="inlineStr">
        <is>
          <t>P0</t>
        </is>
      </c>
      <c r="H14" s="11" t="inlineStr">
        <is>
          <t>Pass</t>
        </is>
      </c>
      <c r="I14" s="12" t="inlineStr">
        <is>
          <t>Appointment Fri Oct 2 10:00 AM (Bay 2, Sam Rivera, QA B01 Test, Oil &amp; filter change) appears on calendar grid. Conflict-aware: Bay 1/Dev Patel 10:00 rejected ('already booked at this time'); Bay 2 + Sam Rivera succeeded ('confirmation queued').</t>
        </is>
      </c>
      <c r="J14" s="2" t="inlineStr"/>
      <c r="K14" s="13" t="inlineStr">
        <is>
          <t>2026-10-01</t>
        </is>
      </c>
      <c r="L14" s="3" t="inlineStr"/>
    </row>
    <row r="15">
      <c r="A15" s="2" t="inlineStr">
        <is>
          <t>6.3 Appointments, booking link &amp; SMS reminders</t>
        </is>
      </c>
      <c r="B15" s="2" t="inlineStr">
        <is>
          <t>TC-C02</t>
        </is>
      </c>
      <c r="C15" s="3" t="inlineStr">
        <is>
          <t>Public booking link — no login</t>
        </is>
      </c>
      <c r="D15" s="3" t="inlineStr">
        <is>
          <t>Booking link enabled</t>
        </is>
      </c>
      <c r="E15" s="3" t="inlineStr">
        <is>
          <t>Open link in incognito; book a slot as a new customer</t>
        </is>
      </c>
      <c r="F15" s="3" t="inlineStr">
        <is>
          <t>Booking lands on the correct garage's calendar; customer auto-created</t>
        </is>
      </c>
      <c r="G15" s="4" t="inlineStr">
        <is>
          <t>P0</t>
        </is>
      </c>
      <c r="H15" s="11" t="inlineStr">
        <is>
          <t>Pass</t>
        </is>
      </c>
      <c r="I15" s="12" t="inlineStr">
        <is>
          <t>Logged out; /book/demo-auto-toronto works with no session. Booked Oil &amp; filter change Fri Oct 2 10:00 AM as 'QA SMS Test' (+16476094072) with consent ticked. 'You're booked!'; appointment on Demo Auto Toronto's Oct 2 calendar; customer auto-created with EXPRESS consent.</t>
        </is>
      </c>
      <c r="J15" s="2" t="inlineStr"/>
      <c r="K15" s="13" t="inlineStr">
        <is>
          <t>2026-10-01</t>
        </is>
      </c>
      <c r="L15" s="3" t="inlineStr"/>
    </row>
    <row r="16">
      <c r="A16" s="2" t="inlineStr">
        <is>
          <t>6.3 Appointments, booking link &amp; SMS reminders</t>
        </is>
      </c>
      <c r="B16" s="2" t="inlineStr">
        <is>
          <t>TC-C03</t>
        </is>
      </c>
      <c r="C16" s="3" t="inlineStr">
        <is>
          <t>QR code resolves to booking link</t>
        </is>
      </c>
      <c r="D16" s="3" t="inlineStr">
        <is>
          <t>QR generated</t>
        </is>
      </c>
      <c r="E16" s="3" t="inlineStr">
        <is>
          <t>Scan QR (phone camera)</t>
        </is>
      </c>
      <c r="F16" s="3" t="inlineStr">
        <is>
          <t>Opens the same public booking link as TC-C02</t>
        </is>
      </c>
      <c r="G16" s="5" t="inlineStr">
        <is>
          <t>P1</t>
        </is>
      </c>
      <c r="H16" s="11" t="inlineStr">
        <is>
          <t>Pass</t>
        </is>
      </c>
      <c r="I16" s="12" t="inlineStr">
        <is>
          <t>Settings -&gt; Booking QR tab shows QR image next to 'PUBLIC BOOKING PAGE' with URL text identical to the TC-C02 booking link, plus Copy link / Download QR buttons. (Pixel-level QR decode not performed in-browser.)</t>
        </is>
      </c>
      <c r="J16" s="2" t="inlineStr"/>
      <c r="K16" s="13" t="inlineStr">
        <is>
          <t>2026-10-01</t>
        </is>
      </c>
      <c r="L16" s="3" t="inlineStr"/>
    </row>
    <row r="17">
      <c r="A17" s="2" t="inlineStr">
        <is>
          <t>6.3 Appointments, booking link &amp; SMS reminders</t>
        </is>
      </c>
      <c r="B17" s="2" t="inlineStr">
        <is>
          <t>TC-C04</t>
        </is>
      </c>
      <c r="C17" s="3" t="inlineStr">
        <is>
          <t>Double-booking prevention</t>
        </is>
      </c>
      <c r="D17" s="3" t="inlineStr">
        <is>
          <t>One bay / one slot config</t>
        </is>
      </c>
      <c r="E17" s="3" t="inlineStr">
        <is>
          <t>Book the same slot twice via the public link</t>
        </is>
      </c>
      <c r="F17" s="3" t="inlineStr">
        <is>
          <t>Second booking rejected with a clear message, or waitlist per config</t>
        </is>
      </c>
      <c r="G17" s="5" t="inlineStr">
        <is>
          <t>P1</t>
        </is>
      </c>
      <c r="H17" s="14" t="inlineStr">
        <is>
          <t>Fail</t>
        </is>
      </c>
      <c r="I17" s="12" t="inlineStr">
        <is>
          <t>Booked the SAME slot (Fri Oct 2 2:00 PM, Oil &amp; filter change) twice via the public link ('QA C04 One' +15550101111, 'QA C04 Two' +15550101112) — both returned 'You're booked!' and the slot still showed free. Contrast: in-app Calendar Book dialog DOES block conflicts. Public flow is missing the overlap check.</t>
        </is>
      </c>
      <c r="J17" s="2" t="inlineStr">
        <is>
          <t>BUG-008</t>
        </is>
      </c>
      <c r="K17" s="13" t="inlineStr">
        <is>
          <t>2026-10-01</t>
        </is>
      </c>
      <c r="L17" s="3" t="inlineStr"/>
    </row>
    <row r="18">
      <c r="A18" s="2" t="inlineStr">
        <is>
          <t>6.3 Appointments, booking link &amp; SMS reminders</t>
        </is>
      </c>
      <c r="B18" s="2" t="inlineStr">
        <is>
          <t>TC-C05</t>
        </is>
      </c>
      <c r="C18" s="3" t="inlineStr">
        <is>
          <t>Booking confirmation SMS</t>
        </is>
      </c>
      <c r="D18" s="3" t="inlineStr">
        <is>
          <t>Twilio test number configured</t>
        </is>
      </c>
      <c r="E18" s="3" t="inlineStr">
        <is>
          <t>Create a booking</t>
        </is>
      </c>
      <c r="F18" s="3" t="inlineStr">
        <is>
          <t>Confirmation SMS arrives promptly with date/time/business name</t>
        </is>
      </c>
      <c r="G18" s="4" t="inlineStr">
        <is>
          <t>P0</t>
        </is>
      </c>
      <c r="H18" s="11" t="inlineStr">
        <is>
          <t>Pass</t>
        </is>
      </c>
      <c r="I18" s="12" t="inlineStr">
        <is>
          <t>Outbound confirmation recorded in QA SMS Test thread: 'Demo Auto Toronto: Hi QA, your Oil &amp; filter change is booked for Fri, Oct 2 at 10:00 AM. Reply YES to confirm...' — status DELIVERED, correct business name/date/time. (Physical handset receipt not directly observable.)</t>
        </is>
      </c>
      <c r="J18" s="2" t="inlineStr"/>
      <c r="K18" s="13" t="inlineStr">
        <is>
          <t>2026-10-01</t>
        </is>
      </c>
      <c r="L18" s="3" t="inlineStr"/>
    </row>
    <row r="19">
      <c r="A19" s="2" t="inlineStr">
        <is>
          <t>6.3 Appointments, booking link &amp; SMS reminders</t>
        </is>
      </c>
      <c r="B19" s="2" t="inlineStr">
        <is>
          <t>TC-C06</t>
        </is>
      </c>
      <c r="C19" s="3" t="inlineStr">
        <is>
          <t>24-hour reminder</t>
        </is>
      </c>
      <c r="D19" s="3" t="inlineStr">
        <is>
          <t>Appointment tomorrow</t>
        </is>
      </c>
      <c r="E19" s="3" t="inlineStr">
        <is>
          <t>Advance clock / trigger scheduler</t>
        </is>
      </c>
      <c r="F19" s="3" t="inlineStr">
        <is>
          <t>Reminder SMS sent ~24h before</t>
        </is>
      </c>
      <c r="G19" s="4" t="inlineStr">
        <is>
          <t>P0</t>
        </is>
      </c>
      <c r="H19" s="11" t="inlineStr">
        <is>
          <t>Pass</t>
        </is>
      </c>
      <c r="I19" s="12" t="inlineStr">
        <is>
          <t>Appointment Sat Oct 3 11:00 AM -&gt; reminder24 QUEUED for Oct 2 11:00 AM (exactly ~24h before). Automations page has manual 'Send due messages now' trigger (returned '0 message(s) handled' — nothing due yet, consistent).</t>
        </is>
      </c>
      <c r="J19" s="2" t="inlineStr"/>
      <c r="K19" s="13" t="inlineStr">
        <is>
          <t>2026-10-01</t>
        </is>
      </c>
      <c r="L19" s="3" t="inlineStr"/>
    </row>
    <row r="20">
      <c r="A20" s="2" t="inlineStr">
        <is>
          <t>6.3 Appointments, booking link &amp; SMS reminders</t>
        </is>
      </c>
      <c r="B20" s="2" t="inlineStr">
        <is>
          <t>TC-C07</t>
        </is>
      </c>
      <c r="C20" s="3" t="inlineStr">
        <is>
          <t>2-hour reminder</t>
        </is>
      </c>
      <c r="D20" s="3" t="inlineStr">
        <is>
          <t>Appointment in 2h</t>
        </is>
      </c>
      <c r="E20" s="3" t="inlineStr">
        <is>
          <t>Trigger scheduler</t>
        </is>
      </c>
      <c r="F20" s="3" t="inlineStr">
        <is>
          <t>Reminder SMS sent ~2h before</t>
        </is>
      </c>
      <c r="G20" s="4" t="inlineStr">
        <is>
          <t>P0</t>
        </is>
      </c>
      <c r="H20" s="11" t="inlineStr">
        <is>
          <t>Pass</t>
        </is>
      </c>
      <c r="I20" s="12" t="inlineStr">
        <is>
          <t>Oct 2 10:00 AM appointment -&gt; reminder2 QUEUED for Oct 2 8:00 AM (2h before); same pattern for the 4:00 PM booking (reminder2 Oct 2 2:00 PM).</t>
        </is>
      </c>
      <c r="J20" s="2" t="inlineStr"/>
      <c r="K20" s="13" t="inlineStr">
        <is>
          <t>2026-10-01</t>
        </is>
      </c>
      <c r="L20" s="3" t="inlineStr"/>
    </row>
    <row r="21">
      <c r="A21" s="2" t="inlineStr">
        <is>
          <t>6.3 Appointments, booking link &amp; SMS reminders</t>
        </is>
      </c>
      <c r="B21" s="2" t="inlineStr">
        <is>
          <t>TC-C08</t>
        </is>
      </c>
      <c r="C21" s="3" t="inlineStr">
        <is>
          <t>Customer replies YES</t>
        </is>
      </c>
      <c r="D21" s="3" t="inlineStr">
        <is>
          <t>Reminder sent</t>
        </is>
      </c>
      <c r="E21" s="3" t="inlineStr">
        <is>
          <t>Reply YES from the customer phone</t>
        </is>
      </c>
      <c r="F21" s="3" t="inlineStr">
        <is>
          <t>Appointment status → Confirmed; shown on calendar</t>
        </is>
      </c>
      <c r="G21" s="4" t="inlineStr">
        <is>
          <t>P0</t>
        </is>
      </c>
      <c r="H21" s="14" t="inlineStr">
        <is>
          <t>Fail</t>
        </is>
      </c>
      <c r="I21" s="12" t="inlineStr">
        <is>
          <t>Inbound YES reply from +16476094072 RECEIVED and recorded in the QA SMS Test thread at Oct 1 8:00 PM (dashboard 'Replies needing attention' also listed it). BUT the Fri Oct 2 10:00 AM appointment status stayed SCHEDULED — the Confirm button was still available, i.e. the reply did NOT auto-confirm the appointment as the SMS ('Reply YES to confirm') promises.</t>
        </is>
      </c>
      <c r="J21" s="2" t="inlineStr">
        <is>
          <t>BUG-010</t>
        </is>
      </c>
      <c r="K21" s="13" t="inlineStr">
        <is>
          <t>2026-10-01</t>
        </is>
      </c>
      <c r="L21" s="3" t="inlineStr"/>
    </row>
    <row r="22">
      <c r="A22" s="2" t="inlineStr">
        <is>
          <t>6.3 Appointments, booking link &amp; SMS reminders</t>
        </is>
      </c>
      <c r="B22" s="2" t="inlineStr">
        <is>
          <t>TC-C09</t>
        </is>
      </c>
      <c r="C22" s="3" t="inlineStr">
        <is>
          <t>Customer replies CANCEL</t>
        </is>
      </c>
      <c r="D22" s="3" t="inlineStr">
        <is>
          <t>Reminder sent</t>
        </is>
      </c>
      <c r="E22" s="3" t="inlineStr">
        <is>
          <t>Reply CANCEL</t>
        </is>
      </c>
      <c r="F22" s="3" t="inlineStr">
        <is>
          <t>Appointment → Cancelled; slot freed; staff notified</t>
        </is>
      </c>
      <c r="G22" s="4" t="inlineStr">
        <is>
          <t>P0</t>
        </is>
      </c>
      <c r="H22" s="17" t="inlineStr">
        <is>
          <t>Blocked</t>
        </is>
      </c>
      <c r="I22" s="12" t="inlineStr">
        <is>
          <t>Same blocker as C08. Manual step: reply CANCEL from +16476094072 to +12896721172, then verify appointment -&gt; Cancelled, slot freed, staff notified.</t>
        </is>
      </c>
      <c r="J22" s="2" t="inlineStr"/>
      <c r="K22" s="13" t="inlineStr">
        <is>
          <t>2026-10-01</t>
        </is>
      </c>
      <c r="L22" s="3" t="inlineStr"/>
    </row>
    <row r="23">
      <c r="A23" s="2" t="inlineStr">
        <is>
          <t>6.3 Appointments, booking link &amp; SMS reminders</t>
        </is>
      </c>
      <c r="B23" s="2" t="inlineStr">
        <is>
          <t>TC-C10</t>
        </is>
      </c>
      <c r="C23" s="3" t="inlineStr">
        <is>
          <t>Quiet hours respected</t>
        </is>
      </c>
      <c r="D23" s="3" t="inlineStr">
        <is>
          <t>Quiet hours 9PM–8AM</t>
        </is>
      </c>
      <c r="E23" s="3" t="inlineStr">
        <is>
          <t>Book an 8AM appointment at 11PM</t>
        </is>
      </c>
      <c r="F23" s="3" t="inlineStr">
        <is>
          <t>No SMS sent 11PM–8AM; confirmation queued and sent at 8AM</t>
        </is>
      </c>
      <c r="G23" s="5" t="inlineStr">
        <is>
          <t>P1</t>
        </is>
      </c>
      <c r="H23" s="17" t="inlineStr">
        <is>
          <t>Blocked</t>
        </is>
      </c>
      <c r="I23" s="12" t="inlineStr">
        <is>
          <t>Quiet hours configured 8PM-9AM in Settings (Texts allowed 9 -&gt; 20; held until next allowed time) — NOT 9PM-8AM as the test assumed. Current time (~7:55 PM) inside allowed window; confirmations sent immediately. Hold-until-window needs a booking after 8:00 PM.</t>
        </is>
      </c>
      <c r="J23" s="2" t="inlineStr"/>
      <c r="K23" s="13" t="inlineStr">
        <is>
          <t>2026-10-01</t>
        </is>
      </c>
      <c r="L23" s="3" t="inlineStr"/>
    </row>
    <row r="24">
      <c r="A24" s="2" t="inlineStr">
        <is>
          <t>6.4 Google-review automation</t>
        </is>
      </c>
      <c r="B24" s="2" t="inlineStr">
        <is>
          <t>TC-D01</t>
        </is>
      </c>
      <c r="C24" s="3" t="inlineStr">
        <is>
          <t>Review request after completed job</t>
        </is>
      </c>
      <c r="D24" s="3" t="inlineStr">
        <is>
          <t>Job completed today</t>
        </is>
      </c>
      <c r="E24" s="3" t="inlineStr">
        <is>
          <t>Mark job complete; wait the configured delay</t>
        </is>
      </c>
      <c r="F24" s="3" t="inlineStr">
        <is>
          <t>Review-request SMS with the garage's Google review link arrives after the delay</t>
        </is>
      </c>
      <c r="G24" s="4" t="inlineStr">
        <is>
          <t>P0</t>
        </is>
      </c>
      <c r="H24" s="11" t="inlineStr">
        <is>
          <t>Pass</t>
        </is>
      </c>
      <c r="I24" s="12" t="inlineStr">
        <is>
          <t>Job completed for QA SMS Test ~8:14 PM. Review request QUEUED for Oct 2 9:00 AM (120-min delay -&gt; ~10:14 PM, deferred past 20:00 messaging cutoff to next allowed window). Template preview confirms garage's Google review link renders (tracked short link). Note: delivery happens via cron; no manual send trigger for review messages.</t>
        </is>
      </c>
      <c r="J24" s="2" t="inlineStr"/>
      <c r="K24" s="13" t="inlineStr">
        <is>
          <t>2026-10-01</t>
        </is>
      </c>
      <c r="L24" s="3" t="inlineStr"/>
    </row>
    <row r="25">
      <c r="A25" s="2" t="inlineStr">
        <is>
          <t>6.4 Google-review automation</t>
        </is>
      </c>
      <c r="B25" s="2" t="inlineStr">
        <is>
          <t>TC-D02</t>
        </is>
      </c>
      <c r="C25" s="3" t="inlineStr">
        <is>
          <t>Frequency cap enforced</t>
        </is>
      </c>
      <c r="D25" s="3" t="inlineStr">
        <is>
          <t>Cap = 1 request / 30 days</t>
        </is>
      </c>
      <c r="E25" s="3" t="inlineStr">
        <is>
          <t>Complete two jobs for the same customer within a week</t>
        </is>
      </c>
      <c r="F25" s="3" t="inlineStr">
        <is>
          <t>Only ONE review request SMS in the cap window</t>
        </is>
      </c>
      <c r="G25" s="5" t="inlineStr">
        <is>
          <t>P1</t>
        </is>
      </c>
      <c r="H25" s="11" t="inlineStr">
        <is>
          <t>Pass</t>
        </is>
      </c>
      <c r="I25" s="12" t="inlineStr">
        <is>
          <t>Completed TWO jobs for QA SMS Test; thread shows only ONE 'QUEUED REVIEW' entry — no duplicate. 30-day review cap enforced (verified in Automations header).</t>
        </is>
      </c>
      <c r="J25" s="2" t="inlineStr"/>
      <c r="K25" s="13" t="inlineStr">
        <is>
          <t>2026-10-01</t>
        </is>
      </c>
      <c r="L25" s="3" t="inlineStr"/>
    </row>
    <row r="26">
      <c r="A26" s="2" t="inlineStr">
        <is>
          <t>6.4 Google-review automation</t>
        </is>
      </c>
      <c r="B26" s="2" t="inlineStr">
        <is>
          <t>TC-D03</t>
        </is>
      </c>
      <c r="C26" s="3" t="inlineStr">
        <is>
          <t>No-review follow-up nudge</t>
        </is>
      </c>
      <c r="D26" s="3" t="inlineStr">
        <is>
          <t>Review request sent, no review detected</t>
        </is>
      </c>
      <c r="E26" s="3" t="inlineStr">
        <is>
          <t>Wait the nudge delay</t>
        </is>
      </c>
      <c r="F26" s="3" t="inlineStr">
        <is>
          <t>Exactly one polite follow-up SMS; no further nagging</t>
        </is>
      </c>
      <c r="G26" s="6" t="inlineStr">
        <is>
          <t>P2</t>
        </is>
      </c>
      <c r="H26" s="17" t="inlineStr">
        <is>
          <t>Blocked</t>
        </is>
      </c>
      <c r="I26" s="12" t="inlineStr">
        <is>
          <t>Nudge setting verified ('Review follow-up: send 3 days after review request, only if not clicked', template enabled). Cannot execute: prerequisite review SMS not yet sent (sends Oct 2 9:00 AM) and 3-day delay cannot elapse in-session; no manual trigger.</t>
        </is>
      </c>
      <c r="J26" s="2" t="inlineStr"/>
      <c r="K26" s="13" t="inlineStr">
        <is>
          <t>2026-10-01</t>
        </is>
      </c>
      <c r="L26" s="3" t="inlineStr"/>
    </row>
    <row r="27">
      <c r="A27" s="2" t="inlineStr">
        <is>
          <t>6.4 Google-review automation</t>
        </is>
      </c>
      <c r="B27" s="2" t="inlineStr">
        <is>
          <t>TC-D04</t>
        </is>
      </c>
      <c r="C27" s="3" t="inlineStr">
        <is>
          <t>STOP suppresses review SMS</t>
        </is>
      </c>
      <c r="D27" s="3" t="inlineStr">
        <is>
          <t>Customer opted in</t>
        </is>
      </c>
      <c r="E27" s="3" t="inlineStr">
        <is>
          <t>Customer replies STOP, then complete another job</t>
        </is>
      </c>
      <c r="F27" s="3" t="inlineStr">
        <is>
          <t>No review SMS sent after STOP; consent ledger shows opt-out</t>
        </is>
      </c>
      <c r="G27" s="4" t="inlineStr">
        <is>
          <t>P0</t>
        </is>
      </c>
      <c r="H27" s="6" t="inlineStr">
        <is>
          <t>Skipped</t>
        </is>
      </c>
      <c r="I27" s="12" t="inlineStr">
        <is>
          <t>Skipped at product owner's request (2026-10-01): replying STOP would opt the test number out and Twilio re-opt-in is unreliable in this setup — deferred, not a product failure.</t>
        </is>
      </c>
      <c r="J27" s="2" t="inlineStr"/>
      <c r="K27" s="13" t="inlineStr">
        <is>
          <t>2026-10-01</t>
        </is>
      </c>
      <c r="L27" s="3" t="inlineStr"/>
    </row>
    <row r="28">
      <c r="A28" s="2" t="inlineStr">
        <is>
          <t>6.4 Google-review automation</t>
        </is>
      </c>
      <c r="B28" s="2" t="inlineStr">
        <is>
          <t>TC-D05</t>
        </is>
      </c>
      <c r="C28" s="3" t="inlineStr">
        <is>
          <t>Correct per-garage review link</t>
        </is>
      </c>
      <c r="D28" s="3" t="inlineStr">
        <is>
          <t>Two garages with different Google links</t>
        </is>
      </c>
      <c r="E28" s="3" t="inlineStr">
        <is>
          <t>Complete a job in each</t>
        </is>
      </c>
      <c r="F28" s="3" t="inlineStr">
        <is>
          <t>Each SMS carries that garage's own review URL</t>
        </is>
      </c>
      <c r="G28" s="4" t="inlineStr">
        <is>
          <t>P0</t>
        </is>
      </c>
      <c r="H28" s="11" t="inlineStr">
        <is>
          <t>Pass</t>
        </is>
      </c>
      <c r="I28" s="12" t="inlineStr">
        <is>
          <t>Per-garage review links verified: Demo Auto Toronto = g.page/r/demo-auto-toronto/review; QA Test Garage RevLoop = g.page/r/qa-test-garage-revloop. {review_link} renders per-garage from settings. Caveat: live cross-garage send not possible (QA garage PENDING, no Twilio number).</t>
        </is>
      </c>
      <c r="J28" s="2" t="inlineStr"/>
      <c r="K28" s="13" t="inlineStr">
        <is>
          <t>2026-10-01</t>
        </is>
      </c>
      <c r="L28" s="3" t="inlineStr"/>
    </row>
    <row r="29">
      <c r="A29" s="2" t="inlineStr">
        <is>
          <t>6.5 Service-due reminders</t>
        </is>
      </c>
      <c r="B29" s="2" t="inlineStr">
        <is>
          <t>TC-E01</t>
        </is>
      </c>
      <c r="C29" s="3" t="inlineStr">
        <is>
          <t>Date-based reminder</t>
        </is>
      </c>
      <c r="D29" s="3" t="inlineStr">
        <is>
          <t>Service done 6 months ago; interval 6 months</t>
        </is>
      </c>
      <c r="E29" s="3" t="inlineStr">
        <is>
          <t>Run reminder job</t>
        </is>
      </c>
      <c r="F29" s="3" t="inlineStr">
        <is>
          <t>Reminder SMS sent</t>
        </is>
      </c>
      <c r="G29" s="5" t="inlineStr">
        <is>
          <t>P1</t>
        </is>
      </c>
      <c r="H29" s="17" t="inlineStr">
        <is>
          <t>Blocked</t>
        </is>
      </c>
      <c r="I29" s="12" t="inlineStr">
        <is>
          <t>Service-record dates cannot be backdated (derived from completed appointments; past appointments rejected). Reminder due-dates CAN be set directly, but 'Send due messages now' processed 0 messages. Positive control: Aisha Khan received a real due-reminder SMS at 3:44 PM today via automation — date-based reminders work; manual trigger does not.</t>
        </is>
      </c>
      <c r="J29" s="2" t="inlineStr">
        <is>
          <t>BUG-012</t>
        </is>
      </c>
      <c r="K29" s="13" t="inlineStr">
        <is>
          <t>2026-10-01</t>
        </is>
      </c>
      <c r="L29" s="3" t="inlineStr"/>
    </row>
    <row r="30">
      <c r="A30" s="2" t="inlineStr">
        <is>
          <t>6.5 Service-due reminders</t>
        </is>
      </c>
      <c r="B30" s="2" t="inlineStr">
        <is>
          <t>TC-E02</t>
        </is>
      </c>
      <c r="C30" s="3" t="inlineStr">
        <is>
          <t>Kilometre-based reminder</t>
        </is>
      </c>
      <c r="D30" s="3" t="inlineStr">
        <is>
          <t>Vehicle km recorded; interval set</t>
        </is>
      </c>
      <c r="E30" s="3" t="inlineStr">
        <is>
          <t>Update odometer past the interval; run job</t>
        </is>
      </c>
      <c r="F30" s="3" t="inlineStr">
        <is>
          <t>Reminder SMS sent</t>
        </is>
      </c>
      <c r="G30" s="5" t="inlineStr">
        <is>
          <t>P1</t>
        </is>
      </c>
      <c r="H30" s="17" t="inlineStr">
        <is>
          <t>Blocked</t>
        </is>
      </c>
      <c r="I30" s="12" t="inlineStr">
        <is>
          <t>Km interval confirmed (5,000 km: 37,000 -&gt; due 42,000). Vehicle odometer CANNOT be edited via UI — 'Vehicle' button only adds new vehicles; plate text not clickable; no edit affordance.</t>
        </is>
      </c>
      <c r="J30" s="2" t="inlineStr">
        <is>
          <t>BUG-013</t>
        </is>
      </c>
      <c r="K30" s="13" t="inlineStr">
        <is>
          <t>2026-10-01</t>
        </is>
      </c>
      <c r="L30" s="3" t="inlineStr"/>
    </row>
    <row r="31">
      <c r="A31" s="2" t="inlineStr">
        <is>
          <t>6.5 Service-due reminders</t>
        </is>
      </c>
      <c r="B31" s="2" t="inlineStr">
        <is>
          <t>TC-E03</t>
        </is>
      </c>
      <c r="C31" s="3" t="inlineStr">
        <is>
          <t>Reminder suppressed if already rebooked</t>
        </is>
      </c>
      <c r="D31" s="3" t="inlineStr">
        <is>
          <t>Reminder due but appointment exists</t>
        </is>
      </c>
      <c r="E31" s="3" t="inlineStr">
        <is>
          <t>Customer already has a future appointment</t>
        </is>
      </c>
      <c r="F31" s="3" t="inlineStr">
        <is>
          <t>No reminder SMS (no spam)</t>
        </is>
      </c>
      <c r="G31" s="5" t="inlineStr">
        <is>
          <t>P1</t>
        </is>
      </c>
      <c r="H31" s="17" t="inlineStr">
        <is>
          <t>Blocked</t>
        </is>
      </c>
      <c r="I31" s="12" t="inlineStr">
        <is>
          <t>Precondition met (QA SMS Test has future appointments + due reminder Oct 1) but suppression unverifiable — 'Send due messages now' processes 0 messages (see BUG-012).</t>
        </is>
      </c>
      <c r="J31" s="2" t="inlineStr">
        <is>
          <t>BUG-012</t>
        </is>
      </c>
      <c r="K31" s="13" t="inlineStr">
        <is>
          <t>2026-10-01</t>
        </is>
      </c>
      <c r="L31" s="3" t="inlineStr"/>
    </row>
    <row r="32">
      <c r="A32" s="2" t="inlineStr">
        <is>
          <t>6.6 SMS templates &amp; conversations</t>
        </is>
      </c>
      <c r="B32" s="2" t="inlineStr">
        <is>
          <t>TC-F01</t>
        </is>
      </c>
      <c r="C32" s="3" t="inlineStr">
        <is>
          <t>Template variables render</t>
        </is>
      </c>
      <c r="D32" s="3" t="inlineStr">
        <is>
          <t>Template with {{name}}, {{date}}</t>
        </is>
      </c>
      <c r="E32" s="3" t="inlineStr">
        <is>
          <t>Edit template; trigger the SMS</t>
        </is>
      </c>
      <c r="F32" s="3" t="inlineStr">
        <is>
          <t>Sent SMS shows real name/date, no raw {{placeholders}}</t>
        </is>
      </c>
      <c r="G32" s="4" t="inlineStr">
        <is>
          <t>P0</t>
        </is>
      </c>
      <c r="H32" s="11" t="inlineStr">
        <is>
          <t>Pass</t>
        </is>
      </c>
      <c r="I32" s="12" t="inlineStr">
        <is>
          <t>Templates use {variable} syntax. All previews render real sample values, no raw placeholders ({first_name}-&gt;Priya, {review_link}-&gt;rvl.link/r, etc.). Edited + saved 'Service due' template OK. MINOR: live preview did NOT refresh after save (stale/cached) even after reload; default restored afterwards.</t>
        </is>
      </c>
      <c r="J32" s="2" t="inlineStr">
        <is>
          <t>BUG-011</t>
        </is>
      </c>
      <c r="K32" s="13" t="inlineStr">
        <is>
          <t>2026-10-01</t>
        </is>
      </c>
      <c r="L32" s="3" t="inlineStr"/>
    </row>
    <row r="33">
      <c r="A33" s="2" t="inlineStr">
        <is>
          <t>6.6 SMS templates &amp; conversations</t>
        </is>
      </c>
      <c r="B33" s="2" t="inlineStr">
        <is>
          <t>TC-F02</t>
        </is>
      </c>
      <c r="C33" s="3" t="inlineStr">
        <is>
          <t>Staff cannot edit templates</t>
        </is>
      </c>
      <c r="D33" s="3" t="inlineStr">
        <is>
          <t>Staff logged in</t>
        </is>
      </c>
      <c r="E33" s="3" t="inlineStr">
        <is>
          <t>Open template editor</t>
        </is>
      </c>
      <c r="F33" s="3" t="inlineStr">
        <is>
          <t>403 / read-only; no save possible</t>
        </is>
      </c>
      <c r="G33" s="5" t="inlineStr">
        <is>
          <t>P1</t>
        </is>
      </c>
      <c r="H33" s="11" t="inlineStr">
        <is>
          <t>Pass</t>
        </is>
      </c>
      <c r="I33" s="12" t="inlineStr">
        <is>
          <t>Staff login: nav shows only Calendar/Customers/Inbox; direct /automations and /settings redirect to /calendar (no 403, but no access and no save possible).</t>
        </is>
      </c>
      <c r="J33" s="2" t="inlineStr"/>
      <c r="K33" s="13" t="inlineStr">
        <is>
          <t>2026-10-01</t>
        </is>
      </c>
      <c r="L33" s="3" t="inlineStr"/>
    </row>
    <row r="34">
      <c r="A34" s="2" t="inlineStr">
        <is>
          <t>6.6 SMS templates &amp; conversations</t>
        </is>
      </c>
      <c r="B34" s="2" t="inlineStr">
        <is>
          <t>TC-F03</t>
        </is>
      </c>
      <c r="C34" s="3" t="inlineStr">
        <is>
          <t>Conversation thread ordering</t>
        </is>
      </c>
      <c r="D34" s="3" t="inlineStr">
        <is>
          <t>2-way SMS history exists</t>
        </is>
      </c>
      <c r="E34" s="3" t="inlineStr">
        <is>
          <t>Open the customer conversation</t>
        </is>
      </c>
      <c r="F34" s="3" t="inlineStr">
        <is>
          <t>Full history in chronological order, inbound/outbound labeled</t>
        </is>
      </c>
      <c r="G34" s="5" t="inlineStr">
        <is>
          <t>P1</t>
        </is>
      </c>
      <c r="H34" s="11" t="inlineStr">
        <is>
          <t>Pass</t>
        </is>
      </c>
      <c r="I34" s="12" t="inlineStr">
        <is>
          <t>QA SMS Test thread: full 2-way history chronological with clear labels — DELIVERED (outbound), RECEIVED reply (inbound 'Yes' 8:00 PM), QUEUED (scheduled), SUPPRESSED (reminder2 — appointment closed).</t>
        </is>
      </c>
      <c r="J34" s="2" t="inlineStr"/>
      <c r="K34" s="13" t="inlineStr">
        <is>
          <t>2026-10-01</t>
        </is>
      </c>
      <c r="L34" s="3" t="inlineStr"/>
    </row>
    <row r="35">
      <c r="A35" s="2" t="inlineStr">
        <is>
          <t>6.7 Stripe billing (CAD) &amp; SMS quota</t>
        </is>
      </c>
      <c r="B35" s="2" t="inlineStr">
        <is>
          <t>TC-G01</t>
        </is>
      </c>
      <c r="C35" s="3" t="inlineStr">
        <is>
          <t>Subscribe to a plan in CAD</t>
        </is>
      </c>
      <c r="D35" s="3" t="inlineStr">
        <is>
          <t>New garage, no subscription</t>
        </is>
      </c>
      <c r="E35" s="3" t="inlineStr">
        <is>
          <t>Choose plan; pay with test card 4242…</t>
        </is>
      </c>
      <c r="F35" s="3" t="inlineStr">
        <is>
          <t>Subscription active; invoice in CAD; receipt stored</t>
        </is>
      </c>
      <c r="G35" s="4" t="inlineStr">
        <is>
          <t>P0</t>
        </is>
      </c>
      <c r="H35" s="17" t="inlineStr">
        <is>
          <t>Blocked</t>
        </is>
      </c>
      <c r="I35" s="12" t="inlineStr">
        <is>
          <t>Stripe TEST mode verified (billing tab states test mode; checkout session URL cs_test_). Plan: STARTER $49.00 CAD/month, 300 SMS segments/month; checkout shows CA$49.00 due today, email prefilled. BLOCKED at card entry: runtime policy bars typing card numbers from task text — needs the user's browser takeover or a wallet payment to enter test card 4242 4242 4242 4242. No invoice exists yet.</t>
        </is>
      </c>
      <c r="J35" s="2" t="inlineStr"/>
      <c r="K35" s="13" t="inlineStr">
        <is>
          <t>2026-10-01</t>
        </is>
      </c>
      <c r="L35" s="3" t="inlineStr"/>
    </row>
    <row r="36">
      <c r="A36" s="2" t="inlineStr">
        <is>
          <t>6.7 Stripe billing (CAD) &amp; SMS quota</t>
        </is>
      </c>
      <c r="B36" s="2" t="inlineStr">
        <is>
          <t>TC-G02</t>
        </is>
      </c>
      <c r="C36" s="3" t="inlineStr">
        <is>
          <t>Plan upgrade / downgrade</t>
        </is>
      </c>
      <c r="D36" s="3" t="inlineStr">
        <is>
          <t>Active subscription</t>
        </is>
      </c>
      <c r="E36" s="3" t="inlineStr">
        <is>
          <t>Change plan mid-cycle</t>
        </is>
      </c>
      <c r="F36" s="3" t="inlineStr">
        <is>
          <t>Proration applied on next invoice per Stripe behavior</t>
        </is>
      </c>
      <c r="G36" s="5" t="inlineStr">
        <is>
          <t>P1</t>
        </is>
      </c>
      <c r="H36" s="17" t="inlineStr">
        <is>
          <t>Blocked</t>
        </is>
      </c>
      <c r="I36" s="12" t="inlineStr">
        <is>
          <t>Precondition (active subscription from G01) not met — G01 blocked at payment. Proration UI not exercised.</t>
        </is>
      </c>
      <c r="J36" s="2" t="inlineStr"/>
      <c r="K36" s="13" t="inlineStr">
        <is>
          <t>2026-10-01</t>
        </is>
      </c>
      <c r="L36" s="3" t="inlineStr"/>
    </row>
    <row r="37">
      <c r="A37" s="2" t="inlineStr">
        <is>
          <t>6.7 Stripe billing (CAD) &amp; SMS quota</t>
        </is>
      </c>
      <c r="B37" s="2" t="inlineStr">
        <is>
          <t>TC-G03</t>
        </is>
      </c>
      <c r="C37" s="3" t="inlineStr">
        <is>
          <t>Failed payment → grace → suspension</t>
        </is>
      </c>
      <c r="D37" s="3" t="inlineStr">
        <is>
          <t>Active subscription</t>
        </is>
      </c>
      <c r="E37" s="3" t="inlineStr">
        <is>
          <t>Pay with declining test card 4000…0002</t>
        </is>
      </c>
      <c r="F37" s="3" t="inlineStr">
        <is>
          <t>Dunning notices sent; grace period honored; suspension only after configured days</t>
        </is>
      </c>
      <c r="G37" s="4" t="inlineStr">
        <is>
          <t>P0</t>
        </is>
      </c>
      <c r="H37" s="17" t="inlineStr">
        <is>
          <t>Blocked</t>
        </is>
      </c>
      <c r="I37" s="12" t="inlineStr">
        <is>
          <t>Precondition not met; entering declining test card 4000 0000 0000 0002 barred by same policy. Dunning/grace UI not exercised.</t>
        </is>
      </c>
      <c r="J37" s="2" t="inlineStr"/>
      <c r="K37" s="13" t="inlineStr">
        <is>
          <t>2026-10-01</t>
        </is>
      </c>
      <c r="L37" s="3" t="inlineStr"/>
    </row>
    <row r="38">
      <c r="A38" s="2" t="inlineStr">
        <is>
          <t>6.7 Stripe billing (CAD) &amp; SMS quota</t>
        </is>
      </c>
      <c r="B38" s="2" t="inlineStr">
        <is>
          <t>TC-G04</t>
        </is>
      </c>
      <c r="C38" s="3" t="inlineStr">
        <is>
          <t>SMS quota enforcement</t>
        </is>
      </c>
      <c r="D38" s="3" t="inlineStr">
        <is>
          <t>Quota = 500/month</t>
        </is>
      </c>
      <c r="E38" s="3" t="inlineStr">
        <is>
          <t>Send 500+ SMS (or simulate usage)</t>
        </is>
      </c>
      <c r="F38" s="3" t="inlineStr">
        <is>
          <t>Meter accurate in dashboard; overage blocked or billed exactly per plan config</t>
        </is>
      </c>
      <c r="G38" s="4" t="inlineStr">
        <is>
          <t>P0</t>
        </is>
      </c>
      <c r="H38" s="17" t="inlineStr">
        <is>
          <t>Blocked</t>
        </is>
      </c>
      <c r="I38" s="12" t="inlineStr">
        <is>
          <t>QA garage on Trial (ends Oct 15): 100 SMS segments/month, meter shows 0/100 used. Actual plans: trial 100, STARTER 300 ($49 CAD), GROWTH 1000 ($99 CAD) — test expectation of '500/month' does not match. No simulate/adjust-usage control; enforcement not exercisable without a paid plan and without sending 500 real SMS.</t>
        </is>
      </c>
      <c r="J38" s="2" t="inlineStr"/>
      <c r="K38" s="13" t="inlineStr">
        <is>
          <t>2026-10-01</t>
        </is>
      </c>
      <c r="L38" s="3" t="inlineStr"/>
    </row>
    <row r="39">
      <c r="A39" s="2" t="inlineStr">
        <is>
          <t>6.7 Stripe billing (CAD) &amp; SMS quota</t>
        </is>
      </c>
      <c r="B39" s="2" t="inlineStr">
        <is>
          <t>TC-G05</t>
        </is>
      </c>
      <c r="C39" s="3" t="inlineStr">
        <is>
          <t>Cancel subscription</t>
        </is>
      </c>
      <c r="D39" s="3" t="inlineStr">
        <is>
          <t>Active subscription</t>
        </is>
      </c>
      <c r="E39" s="3" t="inlineStr">
        <is>
          <t>Cancel from garage settings</t>
        </is>
      </c>
      <c r="F39" s="3" t="inlineStr">
        <is>
          <t>Access continues to period end, then features downgrade cleanly</t>
        </is>
      </c>
      <c r="G39" s="5" t="inlineStr">
        <is>
          <t>P1</t>
        </is>
      </c>
      <c r="H39" s="17" t="inlineStr">
        <is>
          <t>Blocked</t>
        </is>
      </c>
      <c r="I39" s="12" t="inlineStr">
        <is>
          <t>No active subscription to cancel (G01 blocked). Cancellation flow not exercised.</t>
        </is>
      </c>
      <c r="J39" s="2" t="inlineStr"/>
      <c r="K39" s="13" t="inlineStr">
        <is>
          <t>2026-10-01</t>
        </is>
      </c>
      <c r="L39" s="3" t="inlineStr"/>
    </row>
    <row r="40">
      <c r="A40" s="2" t="inlineStr">
        <is>
          <t>6.8 CASL compliance &amp; audit logs</t>
        </is>
      </c>
      <c r="B40" s="2" t="inlineStr">
        <is>
          <t>TC-H01</t>
        </is>
      </c>
      <c r="C40" s="3" t="inlineStr">
        <is>
          <t>Consent ledger on booking</t>
        </is>
      </c>
      <c r="D40" s="3" t="inlineStr">
        <is>
          <t>Public booking used</t>
        </is>
      </c>
      <c r="E40" s="3" t="inlineStr">
        <is>
          <t>New customer books via public link with consent checkbox</t>
        </is>
      </c>
      <c r="F40" s="3" t="inlineStr">
        <is>
          <t>Ledger entry: source 'booking', timestamp, opt-in=true</t>
        </is>
      </c>
      <c r="G40" s="4" t="inlineStr">
        <is>
          <t>P0</t>
        </is>
      </c>
      <c r="H40" s="11" t="inlineStr">
        <is>
          <t>Pass</t>
        </is>
      </c>
      <c r="I40" s="12" t="inlineStr">
        <is>
          <t>QA SMS Test consent log: source 'Public booking form', Oct 1 2026 7:45 PM, accepted=true, full consent text + submission id + ip_hash recorded. Dashboard '1 of 1 customers have SMS consent' consistent.</t>
        </is>
      </c>
      <c r="J40" s="2" t="inlineStr"/>
      <c r="K40" s="13" t="inlineStr">
        <is>
          <t>2026-10-01</t>
        </is>
      </c>
      <c r="L40" s="3" t="inlineStr"/>
    </row>
    <row r="41">
      <c r="A41" s="2" t="inlineStr">
        <is>
          <t>6.8 CASL compliance &amp; audit logs</t>
        </is>
      </c>
      <c r="B41" s="2" t="inlineStr">
        <is>
          <t>TC-H02</t>
        </is>
      </c>
      <c r="C41" s="3" t="inlineStr">
        <is>
          <t>STOP = opt-out</t>
        </is>
      </c>
      <c r="D41" s="3" t="inlineStr">
        <is>
          <t>Customer opted in</t>
        </is>
      </c>
      <c r="E41" s="3" t="inlineStr">
        <is>
          <t>Reply STOP</t>
        </is>
      </c>
      <c r="F41" s="3" t="inlineStr">
        <is>
          <t>No further marketing/review SMS; ledger shows opt-out with timestamp</t>
        </is>
      </c>
      <c r="G41" s="4" t="inlineStr">
        <is>
          <t>P0</t>
        </is>
      </c>
      <c r="H41" s="6" t="inlineStr">
        <is>
          <t>Skipped</t>
        </is>
      </c>
      <c r="I41" s="12" t="inlineStr">
        <is>
          <t>Skipped at product owner's request (2026-10-01): replying STOP would opt the test number out and Twilio re-opt-in is unreliable in this setup — deferred, not a product failure.</t>
        </is>
      </c>
      <c r="J41" s="2" t="inlineStr"/>
      <c r="K41" s="13" t="inlineStr">
        <is>
          <t>2026-10-01</t>
        </is>
      </c>
      <c r="L41" s="3" t="inlineStr"/>
    </row>
    <row r="42">
      <c r="A42" s="2" t="inlineStr">
        <is>
          <t>6.8 CASL compliance &amp; audit logs</t>
        </is>
      </c>
      <c r="B42" s="2" t="inlineStr">
        <is>
          <t>TC-H03</t>
        </is>
      </c>
      <c r="C42" s="3" t="inlineStr">
        <is>
          <t>HELP reply</t>
        </is>
      </c>
      <c r="D42" s="3" t="inlineStr">
        <is>
          <t>Any customer</t>
        </is>
      </c>
      <c r="E42" s="3" t="inlineStr">
        <is>
          <t>Reply HELP</t>
        </is>
      </c>
      <c r="F42" s="3" t="inlineStr">
        <is>
          <t>Help message with contact info and opt-out instructions</t>
        </is>
      </c>
      <c r="G42" s="5" t="inlineStr">
        <is>
          <t>P1</t>
        </is>
      </c>
      <c r="H42" s="6" t="inlineStr">
        <is>
          <t>Skipped</t>
        </is>
      </c>
      <c r="I42" s="12" t="inlineStr">
        <is>
          <t>Skipped at product owner's request (2026-10-01): replying STOP would opt the test number out and Twilio re-opt-in is unreliable in this setup — deferred, not a product failure.</t>
        </is>
      </c>
      <c r="J42" s="2" t="inlineStr"/>
      <c r="K42" s="13" t="inlineStr">
        <is>
          <t>2026-10-01</t>
        </is>
      </c>
      <c r="L42" s="3" t="inlineStr"/>
    </row>
    <row r="43">
      <c r="A43" s="2" t="inlineStr">
        <is>
          <t>6.8 CASL compliance &amp; audit logs</t>
        </is>
      </c>
      <c r="B43" s="2" t="inlineStr">
        <is>
          <t>TC-H04</t>
        </is>
      </c>
      <c r="C43" s="3" t="inlineStr">
        <is>
          <t>START = re-opt-in</t>
        </is>
      </c>
      <c r="D43" s="3" t="inlineStr">
        <is>
          <t>Customer previously STOPped</t>
        </is>
      </c>
      <c r="E43" s="3" t="inlineStr">
        <is>
          <t>Reply START</t>
        </is>
      </c>
      <c r="F43" s="3" t="inlineStr">
        <is>
          <t>Opt-in restored in ledger; messages resume</t>
        </is>
      </c>
      <c r="G43" s="5" t="inlineStr">
        <is>
          <t>P1</t>
        </is>
      </c>
      <c r="H43" s="6" t="inlineStr">
        <is>
          <t>Skipped</t>
        </is>
      </c>
      <c r="I43" s="12" t="inlineStr">
        <is>
          <t>Skipped at product owner's request (2026-10-01): replying STOP would opt the test number out and Twilio re-opt-in is unreliable in this setup — deferred, not a product failure.</t>
        </is>
      </c>
      <c r="J43" s="2" t="inlineStr"/>
      <c r="K43" s="13" t="inlineStr">
        <is>
          <t>2026-10-01</t>
        </is>
      </c>
      <c r="L43" s="3" t="inlineStr"/>
    </row>
    <row r="44">
      <c r="A44" s="2" t="inlineStr">
        <is>
          <t>6.8 CASL compliance &amp; audit logs</t>
        </is>
      </c>
      <c r="B44" s="2" t="inlineStr">
        <is>
          <t>TC-H05</t>
        </is>
      </c>
      <c r="C44" s="3" t="inlineStr">
        <is>
          <t>Audit log completeness</t>
        </is>
      </c>
      <c r="D44" s="3" t="inlineStr">
        <is>
          <t>Various actions done</t>
        </is>
      </c>
      <c r="E44" s="3" t="inlineStr">
        <is>
          <t>Filter audit log by actor/action/date</t>
        </is>
      </c>
      <c r="F44" s="3" t="inlineStr">
        <is>
          <t>Logins, consent changes, SMS sends, billing events, admin actions all present</t>
        </is>
      </c>
      <c r="G44" s="4" t="inlineStr">
        <is>
          <t>P0</t>
        </is>
      </c>
      <c r="H44" s="14" t="inlineStr">
        <is>
          <t>Fail</t>
        </is>
      </c>
      <c r="I44" s="12" t="inlineStr">
        <is>
          <t>Audit log has action-name TEXT filter only — no actor/role and no date-range filters (actor shown as ID + garage per row). Present today: sms.sent, support.impersonation.started/stopped, billing.checkout.started, consent.opted-out (simulated STOP 2:55 PM), customer.created, template.saved. MISSING: (1) login events — 3 sign-ins today, zero logged; (2) consent OPT-IN events — 7:45 PM booking opt-in only in customer ledger, no audit event (opt-out IS logged, opt-in is not).</t>
        </is>
      </c>
      <c r="J44" s="2" t="inlineStr">
        <is>
          <t>BUG-014</t>
        </is>
      </c>
      <c r="K44" s="13" t="inlineStr">
        <is>
          <t>2026-10-01</t>
        </is>
      </c>
      <c r="L44" s="3" t="inlineStr"/>
    </row>
    <row r="45">
      <c r="A45" s="2" t="inlineStr">
        <is>
          <t>6.9 Admin page - platform</t>
        </is>
      </c>
      <c r="B45" s="2" t="inlineStr">
        <is>
          <t>TC-I01</t>
        </is>
      </c>
      <c r="C45" s="3" t="inlineStr">
        <is>
          <t>Tenant suspend / reactivate</t>
        </is>
      </c>
      <c r="D45" s="3" t="inlineStr">
        <is>
          <t>Two tenants exist</t>
        </is>
      </c>
      <c r="E45" s="3" t="inlineStr">
        <is>
          <t>Suspend Garage B; try its login; reactivate</t>
        </is>
      </c>
      <c r="F45" s="3" t="inlineStr">
        <is>
          <t>Suspended tenant cannot log in (clear message); reactivation restores access</t>
        </is>
      </c>
      <c r="G45" s="4" t="inlineStr">
        <is>
          <t>P0</t>
        </is>
      </c>
      <c r="H45" s="11" t="inlineStr">
        <is>
          <t>Pass</t>
        </is>
      </c>
      <c r="I45" s="12" t="inlineStr">
        <is>
          <t>Suspend QA Test Garage -&gt; SUSPENDED verified; Reactivate -&gt; ACTIVE + 'Garage activated'. Support-impersonation of suspended garage works (audited; bypasses suspension by design). Step 2 (tenant's own login showing 'suspended' message) Blocked-tooling: automation cannot submit password forms and no vault login exists for the QA tenant user.</t>
        </is>
      </c>
      <c r="J45" s="2" t="inlineStr"/>
      <c r="K45" s="13" t="inlineStr">
        <is>
          <t>2026-10-01</t>
        </is>
      </c>
      <c r="L45" s="3" t="inlineStr"/>
    </row>
    <row r="46">
      <c r="A46" s="2" t="inlineStr">
        <is>
          <t>6.9 Admin page - platform</t>
        </is>
      </c>
      <c r="B46" s="2" t="inlineStr">
        <is>
          <t>TC-I02</t>
        </is>
      </c>
      <c r="C46" s="3" t="inlineStr">
        <is>
          <t>Plan &amp; trial defaults</t>
        </is>
      </c>
      <c r="D46" s="3" t="inlineStr">
        <is>
          <t>Admin logged in</t>
        </is>
      </c>
      <c r="E46" s="3" t="inlineStr">
        <is>
          <t>Change default trial days; create a new tenant</t>
        </is>
      </c>
      <c r="F46" s="3" t="inlineStr">
        <is>
          <t>New tenant gets the new trial length</t>
        </is>
      </c>
      <c r="G46" s="5" t="inlineStr">
        <is>
          <t>P1</t>
        </is>
      </c>
      <c r="H46" s="17" t="inlineStr">
        <is>
          <t>Blocked</t>
        </is>
      </c>
      <c r="I46" s="12" t="inlineStr">
        <is>
          <t>No 'default trial days' setting in admin UI (checked Health, Garages, Number pool, Plans, Integrations) and no create-tenant control — tenants only arrive via public signup. Trial-length propagation cannot be exercised.</t>
        </is>
      </c>
      <c r="J46" s="2" t="inlineStr">
        <is>
          <t>BUG-017</t>
        </is>
      </c>
      <c r="K46" s="13" t="inlineStr">
        <is>
          <t>2026-10-01</t>
        </is>
      </c>
      <c r="L46" s="3" t="inlineStr"/>
    </row>
    <row r="47">
      <c r="A47" s="2" t="inlineStr">
        <is>
          <t>6.9 Admin page - platform</t>
        </is>
      </c>
      <c r="B47" s="2" t="inlineStr">
        <is>
          <t>TC-I03</t>
        </is>
      </c>
      <c r="C47" s="3" t="inlineStr">
        <is>
          <t>Per-garage Twilio number provisioning</t>
        </is>
      </c>
      <c r="D47" s="3" t="inlineStr">
        <is>
          <t>Master Twilio configured</t>
        </is>
      </c>
      <c r="E47" s="3" t="inlineStr">
        <is>
          <t>Provision a number for a new garage</t>
        </is>
      </c>
      <c r="F47" s="3" t="inlineStr">
        <is>
          <t>Garage sends/receives SMS from its own number; other garages unaffected</t>
        </is>
      </c>
      <c r="G47" s="4" t="inlineStr">
        <is>
          <t>P0</t>
        </is>
      </c>
      <c r="H47" s="11" t="inlineStr">
        <is>
          <t>Pass</t>
        </is>
      </c>
      <c r="I47" s="12" t="inlineStr">
        <is>
          <t>Pool was empty ('No free numbers in pool'). Added +14022075944 (live number from the connected Twilio account; Test connection confirmed) to the pool, then assigned it to QA Test Garage RevLoop. UI confirmed: 'Number assigned. Inbound SMS webhook configured on Twilio.'</t>
        </is>
      </c>
      <c r="J47" s="2" t="inlineStr"/>
      <c r="K47" s="13" t="inlineStr">
        <is>
          <t>2026-10-01</t>
        </is>
      </c>
      <c r="L47" s="3" t="inlineStr"/>
    </row>
    <row r="48">
      <c r="A48" s="2" t="inlineStr">
        <is>
          <t>6.9 Admin page - platform</t>
        </is>
      </c>
      <c r="B48" s="2" t="inlineStr">
        <is>
          <t>TC-I04</t>
        </is>
      </c>
      <c r="C48" s="3" t="inlineStr">
        <is>
          <t>Stripe product/price mapping</t>
        </is>
      </c>
      <c r="D48" s="3" t="inlineStr">
        <is>
          <t>Admin logged in</t>
        </is>
      </c>
      <c r="E48" s="3" t="inlineStr">
        <is>
          <t>Map plans to Stripe test prices</t>
        </is>
      </c>
      <c r="F48" s="3" t="inlineStr">
        <is>
          <t>Garage checkout uses the mapped prices in CAD</t>
        </is>
      </c>
      <c r="G48" s="4" t="inlineStr">
        <is>
          <t>P0</t>
        </is>
      </c>
      <c r="H48" s="11" t="inlineStr">
        <is>
          <t>Pass</t>
        </is>
      </c>
      <c r="I48" s="12" t="inlineStr">
        <is>
          <t>Plans tab Stripe mapping: 500 SMS pack $15 CAD, Starter $49 CAD / 300 SMS/mo, Growth $99 CAD / 1000 SMS/mo — all CAD, consistent with the CA$49.00 STARTER checkout seen earlier.</t>
        </is>
      </c>
      <c r="J48" s="2" t="inlineStr"/>
      <c r="K48" s="13" t="inlineStr">
        <is>
          <t>2026-10-01</t>
        </is>
      </c>
      <c r="L48" s="3" t="inlineStr"/>
    </row>
    <row r="49">
      <c r="A49" s="2" t="inlineStr">
        <is>
          <t>6.9 Admin page - platform</t>
        </is>
      </c>
      <c r="B49" s="2" t="inlineStr">
        <is>
          <t>TC-I05</t>
        </is>
      </c>
      <c r="C49" s="3" t="inlineStr">
        <is>
          <t>Integration health dashboard</t>
        </is>
      </c>
      <c r="D49" s="3" t="inlineStr">
        <is>
          <t>All integrations configured</t>
        </is>
      </c>
      <c r="E49" s="3" t="inlineStr">
        <is>
          <t>Open health page</t>
        </is>
      </c>
      <c r="F49" s="3" t="inlineStr">
        <is>
          <t>Twilio / Stripe / ElevenLabs / DB each show real reachable status</t>
        </is>
      </c>
      <c r="G49" s="5" t="inlineStr">
        <is>
          <t>P1</t>
        </is>
      </c>
      <c r="H49" s="11" t="inlineStr">
        <is>
          <t>Pass</t>
        </is>
      </c>
      <c r="I49" s="12" t="inlineStr">
        <is>
          <t>Health tab: Database ACTIVE, Twilio ACTIVE, SMS mode LIVE, last cron Oct 1 9:15 PM. 'Test connection' ran a LIVE check on the real Twilio account (numbers listed). Gap: no VAPI/ElevenLabs status rows on the Health tab (ElevenLabs honestly shows 'not set' under Integrations).</t>
        </is>
      </c>
      <c r="J49" s="2" t="inlineStr">
        <is>
          <t>BUG-016</t>
        </is>
      </c>
      <c r="K49" s="13" t="inlineStr">
        <is>
          <t>2026-10-01</t>
        </is>
      </c>
      <c r="L49" s="3" t="inlineStr"/>
    </row>
    <row r="50">
      <c r="A50" s="2" t="inlineStr">
        <is>
          <t>6.9 Admin page - platform</t>
        </is>
      </c>
      <c r="B50" s="2" t="inlineStr">
        <is>
          <t>TC-I06</t>
        </is>
      </c>
      <c r="C50" s="3" t="inlineStr">
        <is>
          <t>Cross-tenant audit log</t>
        </is>
      </c>
      <c r="D50" s="3" t="inlineStr">
        <is>
          <t>Actions across garages</t>
        </is>
      </c>
      <c r="E50" s="3" t="inlineStr">
        <is>
          <t>Filter by tenant and action type</t>
        </is>
      </c>
      <c r="F50" s="3" t="inlineStr">
        <is>
          <t>Correct scoped results; no cross-tenant leakage in filters</t>
        </is>
      </c>
      <c r="G50" s="5" t="inlineStr">
        <is>
          <t>P1</t>
        </is>
      </c>
      <c r="H50" s="11" t="inlineStr">
        <is>
          <t>Pass</t>
        </is>
      </c>
      <c r="I50" s="12" t="inlineStr">
        <is>
          <t>Audit-log action filter works ('support.impersonation' -&gt; only matching entries incl. reason text); every entry carries its tenant label; no cross-tenant leakage. Limitation: no dedicated tenant-filter control, only the action substring filter.</t>
        </is>
      </c>
      <c r="J50" s="2" t="inlineStr"/>
      <c r="K50" s="13" t="inlineStr">
        <is>
          <t>2026-10-01</t>
        </is>
      </c>
      <c r="L50" s="3" t="inlineStr"/>
    </row>
    <row r="51">
      <c r="A51" s="2" t="inlineStr">
        <is>
          <t>6.10 AI cold-calling module</t>
        </is>
      </c>
      <c r="B51" s="2" t="inlineStr">
        <is>
          <t>TC-J01</t>
        </is>
      </c>
      <c r="C51" s="3" t="inlineStr">
        <is>
          <t>Prospect CSV upload</t>
        </is>
      </c>
      <c r="D51" s="3" t="inlineStr">
        <is>
          <t>Sample CSV: name, phone, location, contact, source, notes</t>
        </is>
      </c>
      <c r="E51" s="3" t="inlineStr">
        <is>
          <t>Upload via admin</t>
        </is>
      </c>
      <c r="F51" s="3" t="inlineStr">
        <is>
          <t>All rows imported; visible in funnel as New</t>
        </is>
      </c>
      <c r="G51" s="4" t="inlineStr">
        <is>
          <t>P0</t>
        </is>
      </c>
      <c r="H51" s="17" t="inlineStr">
        <is>
          <t>Blocked</t>
        </is>
      </c>
      <c r="I51" s="12" t="inlineStr">
        <is>
          <t>The ONLY prospect import path is CSV upload (columns: business_name, contact_name, phone, email, city); no manual 'add prospect' exists. File upload grants are broken in this environment, so the import could not be attempted.</t>
        </is>
      </c>
      <c r="J51" s="2" t="inlineStr"/>
      <c r="K51" s="13" t="inlineStr">
        <is>
          <t>2026-10-01</t>
        </is>
      </c>
      <c r="L51" s="3" t="inlineStr"/>
    </row>
    <row r="52">
      <c r="A52" s="2" t="inlineStr">
        <is>
          <t>6.10 AI cold-calling module</t>
        </is>
      </c>
      <c r="B52" s="2" t="inlineStr">
        <is>
          <t>TC-J02</t>
        </is>
      </c>
      <c r="C52" s="3" t="inlineStr">
        <is>
          <t>Duplicate phone rejected</t>
        </is>
      </c>
      <c r="D52" s="3" t="inlineStr">
        <is>
          <t>Same phone twice in CSV</t>
        </is>
      </c>
      <c r="E52" s="3" t="inlineStr">
        <is>
          <t>Upload</t>
        </is>
      </c>
      <c r="F52" s="3" t="inlineStr">
        <is>
          <t>Second row flagged as duplicate; only one prospect created</t>
        </is>
      </c>
      <c r="G52" s="4" t="inlineStr">
        <is>
          <t>P0</t>
        </is>
      </c>
      <c r="H52" s="17" t="inlineStr">
        <is>
          <t>Blocked</t>
        </is>
      </c>
      <c r="I52" s="12" t="inlineStr">
        <is>
          <t>No prospect data (J01 blocked) — duplicate handling not exercisable.</t>
        </is>
      </c>
      <c r="J52" s="2" t="inlineStr"/>
      <c r="K52" s="13" t="inlineStr">
        <is>
          <t>2026-10-01</t>
        </is>
      </c>
      <c r="L52" s="3" t="inlineStr"/>
    </row>
    <row r="53">
      <c r="A53" s="2" t="inlineStr">
        <is>
          <t>6.10 AI cold-calling module</t>
        </is>
      </c>
      <c r="B53" s="2" t="inlineStr">
        <is>
          <t>TC-J03</t>
        </is>
      </c>
      <c r="C53" s="3" t="inlineStr">
        <is>
          <t>Kanban stage moves</t>
        </is>
      </c>
      <c r="D53" s="3" t="inlineStr">
        <is>
          <t>Prospects exist</t>
        </is>
      </c>
      <c r="E53" s="3" t="inlineStr">
        <is>
          <t>Drag New → Call Scheduled → Called</t>
        </is>
      </c>
      <c r="F53" s="3" t="inlineStr">
        <is>
          <t>Stage persists after refresh; move logged with timestamp</t>
        </is>
      </c>
      <c r="G53" s="4" t="inlineStr">
        <is>
          <t>P0</t>
        </is>
      </c>
      <c r="H53" s="17" t="inlineStr">
        <is>
          <t>Blocked</t>
        </is>
      </c>
      <c r="I53" s="12" t="inlineStr">
        <is>
          <t>No prospect data (J01 blocked) — kanban moves not exercisable.</t>
        </is>
      </c>
      <c r="J53" s="2" t="inlineStr"/>
      <c r="K53" s="13" t="inlineStr">
        <is>
          <t>2026-10-01</t>
        </is>
      </c>
      <c r="L53" s="3" t="inlineStr"/>
    </row>
    <row r="54">
      <c r="A54" s="2" t="inlineStr">
        <is>
          <t>6.10 AI cold-calling module</t>
        </is>
      </c>
      <c r="B54" s="2" t="inlineStr">
        <is>
          <t>TC-J04</t>
        </is>
      </c>
      <c r="C54" s="3" t="inlineStr">
        <is>
          <t>Campaign respects calling window</t>
        </is>
      </c>
      <c r="D54" s="3" t="inlineStr">
        <is>
          <t>Window = Mon–Fri 9AM–6PM</t>
        </is>
      </c>
      <c r="E54" s="3" t="inlineStr">
        <is>
          <t>Start campaign; trigger a test call inside the window</t>
        </is>
      </c>
      <c r="F54" s="3" t="inlineStr">
        <is>
          <t>Call placed; attempt logged</t>
        </is>
      </c>
      <c r="G54" s="4" t="inlineStr">
        <is>
          <t>P0</t>
        </is>
      </c>
      <c r="H54" s="17" t="inlineStr">
        <is>
          <t>Blocked</t>
        </is>
      </c>
      <c r="I54" s="12" t="inlineStr">
        <is>
          <t>No prospect data; voice-call placement needs prospects. VAPI credentials ARE configured (key + phone +1 248 929 6872) but no test call placed (would dial a real number).</t>
        </is>
      </c>
      <c r="J54" s="2" t="inlineStr"/>
      <c r="K54" s="13" t="inlineStr">
        <is>
          <t>2026-10-01</t>
        </is>
      </c>
      <c r="L54" s="3" t="inlineStr"/>
    </row>
    <row r="55">
      <c r="A55" s="2" t="inlineStr">
        <is>
          <t>6.10 AI cold-calling module</t>
        </is>
      </c>
      <c r="B55" s="2" t="inlineStr">
        <is>
          <t>TC-J05</t>
        </is>
      </c>
      <c r="C55" s="3" t="inlineStr">
        <is>
          <t>No calls outside window</t>
        </is>
      </c>
      <c r="D55" s="3" t="inlineStr">
        <is>
          <t>Same campaign</t>
        </is>
      </c>
      <c r="E55" s="3" t="inlineStr">
        <is>
          <t>Trigger scheduler at 9PM</t>
        </is>
      </c>
      <c r="F55" s="3" t="inlineStr">
        <is>
          <t>No call placed; prospect queued for next window</t>
        </is>
      </c>
      <c r="G55" s="4" t="inlineStr">
        <is>
          <t>P0</t>
        </is>
      </c>
      <c r="H55" s="17" t="inlineStr">
        <is>
          <t>Blocked</t>
        </is>
      </c>
      <c r="I55" s="12" t="inlineStr">
        <is>
          <t>No prospect data. Observed setting: calling window Mon-Fri 10AM-5PM Toronto (not 9AM-6PM as briefed), 'CRTC hours enforced'.</t>
        </is>
      </c>
      <c r="J55" s="2" t="inlineStr"/>
      <c r="K55" s="13" t="inlineStr">
        <is>
          <t>2026-10-01</t>
        </is>
      </c>
      <c r="L55" s="3" t="inlineStr"/>
    </row>
    <row r="56">
      <c r="A56" s="2" t="inlineStr">
        <is>
          <t>6.10 AI cold-calling module</t>
        </is>
      </c>
      <c r="B56" s="2" t="inlineStr">
        <is>
          <t>TC-J06</t>
        </is>
      </c>
      <c r="C56" s="3" t="inlineStr">
        <is>
          <t>Max attempts enforced</t>
        </is>
      </c>
      <c r="D56" s="3" t="inlineStr">
        <is>
          <t>Max attempts = 3</t>
        </is>
      </c>
      <c r="E56" s="3" t="inlineStr">
        <is>
          <t>Prospect with 3 failed attempts; run scheduler again</t>
        </is>
      </c>
      <c r="F56" s="3" t="inlineStr">
        <is>
          <t>No 4th call; prospect flagged 'max attempts reached'</t>
        </is>
      </c>
      <c r="G56" s="5" t="inlineStr">
        <is>
          <t>P1</t>
        </is>
      </c>
      <c r="H56" s="17" t="inlineStr">
        <is>
          <t>Blocked</t>
        </is>
      </c>
      <c r="I56" s="12" t="inlineStr">
        <is>
          <t>No prospect data. Observed: Max tries 3, Retry hrs 48.</t>
        </is>
      </c>
      <c r="J56" s="2" t="inlineStr"/>
      <c r="K56" s="13" t="inlineStr">
        <is>
          <t>2026-10-01</t>
        </is>
      </c>
      <c r="L56" s="3" t="inlineStr"/>
    </row>
    <row r="57">
      <c r="A57" s="2" t="inlineStr">
        <is>
          <t>6.10 AI cold-calling module</t>
        </is>
      </c>
      <c r="B57" s="2" t="inlineStr">
        <is>
          <t>TC-J07</t>
        </is>
      </c>
      <c r="C57" s="3" t="inlineStr">
        <is>
          <t>Recording + transcript + summary</t>
        </is>
      </c>
      <c r="D57" s="3" t="inlineStr">
        <is>
          <t>Completed test call</t>
        </is>
      </c>
      <c r="E57" s="3" t="inlineStr">
        <is>
          <t>Open the prospect's call record</t>
        </is>
      </c>
      <c r="F57" s="3" t="inlineStr">
        <is>
          <t>Audio recording playable; transcript readable; AI summary + outcome stored</t>
        </is>
      </c>
      <c r="G57" s="4" t="inlineStr">
        <is>
          <t>P0</t>
        </is>
      </c>
      <c r="H57" s="17" t="inlineStr">
        <is>
          <t>Blocked</t>
        </is>
      </c>
      <c r="I57" s="12" t="inlineStr">
        <is>
          <t>Zero completed calls exist; none could be placed. Recording/transcript/summary UI not exercisable.</t>
        </is>
      </c>
      <c r="J57" s="2" t="inlineStr"/>
      <c r="K57" s="13" t="inlineStr">
        <is>
          <t>2026-10-01</t>
        </is>
      </c>
      <c r="L57" s="3" t="inlineStr"/>
    </row>
    <row r="58">
      <c r="A58" s="2" t="inlineStr">
        <is>
          <t>6.10 AI cold-calling module</t>
        </is>
      </c>
      <c r="B58" s="2" t="inlineStr">
        <is>
          <t>TC-J08</t>
        </is>
      </c>
      <c r="C58" s="3" t="inlineStr">
        <is>
          <t>Interested → follow-up queue</t>
        </is>
      </c>
      <c r="D58" s="3" t="inlineStr">
        <is>
          <t>Call outcome = Interested</t>
        </is>
      </c>
      <c r="E58" s="3" t="inlineStr">
        <is>
          <t>Check funnel and follow-up queue</t>
        </is>
      </c>
      <c r="F58" s="3" t="inlineStr">
        <is>
          <t>Prospect auto-moved to Interested; appears in personal follow-up queue</t>
        </is>
      </c>
      <c r="G58" s="4" t="inlineStr">
        <is>
          <t>P0</t>
        </is>
      </c>
      <c r="H58" s="17" t="inlineStr">
        <is>
          <t>Blocked</t>
        </is>
      </c>
      <c r="I58" s="12" t="inlineStr">
        <is>
          <t>No prospect data; Interested-outcome flow not exercisable.</t>
        </is>
      </c>
      <c r="J58" s="2" t="inlineStr"/>
      <c r="K58" s="13" t="inlineStr">
        <is>
          <t>2026-10-01</t>
        </is>
      </c>
      <c r="L58" s="3" t="inlineStr"/>
    </row>
    <row r="59">
      <c r="A59" s="2" t="inlineStr">
        <is>
          <t>6.10 AI cold-calling module</t>
        </is>
      </c>
      <c r="B59" s="2" t="inlineStr">
        <is>
          <t>TC-J09</t>
        </is>
      </c>
      <c r="C59" s="3" t="inlineStr">
        <is>
          <t>DNC suppression</t>
        </is>
      </c>
      <c r="D59" s="3" t="inlineStr">
        <is>
          <t>Prospect marked Do Not Call / replied STOP</t>
        </is>
      </c>
      <c r="E59" s="3" t="inlineStr">
        <is>
          <t>Run a new campaign including that number</t>
        </is>
      </c>
      <c r="F59" s="3" t="inlineStr">
        <is>
          <t>Number never called; suppression logged</t>
        </is>
      </c>
      <c r="G59" s="4" t="inlineStr">
        <is>
          <t>P0</t>
        </is>
      </c>
      <c r="H59" s="17" t="inlineStr">
        <is>
          <t>Blocked</t>
        </is>
      </c>
      <c r="I59" s="12" t="inlineStr">
        <is>
          <t>No prospect data to mark DNC and campaign against.</t>
        </is>
      </c>
      <c r="J59" s="2" t="inlineStr"/>
      <c r="K59" s="13" t="inlineStr">
        <is>
          <t>2026-10-01</t>
        </is>
      </c>
      <c r="L59" s="3" t="inlineStr"/>
    </row>
    <row r="60">
      <c r="A60" s="2" t="inlineStr">
        <is>
          <t>6.10 AI cold-calling module</t>
        </is>
      </c>
      <c r="B60" s="2" t="inlineStr">
        <is>
          <t>TC-J10</t>
        </is>
      </c>
      <c r="C60" s="3" t="inlineStr">
        <is>
          <t>Campaign analytics reconcile</t>
        </is>
      </c>
      <c r="D60" s="3" t="inlineStr">
        <is>
          <t>Campaign with 20 calls</t>
        </is>
      </c>
      <c r="E60" s="3" t="inlineStr">
        <is>
          <t>Open analytics</t>
        </is>
      </c>
      <c r="F60" s="3" t="inlineStr">
        <is>
          <t>Calls, connect rate, interested rate match the underlying call logs exactly</t>
        </is>
      </c>
      <c r="G60" s="5" t="inlineStr">
        <is>
          <t>P1</t>
        </is>
      </c>
      <c r="H60" s="17" t="inlineStr">
        <is>
          <t>Blocked</t>
        </is>
      </c>
      <c r="I60" s="12" t="inlineStr">
        <is>
          <t>Zero calls — analytics have nothing to reconcile.</t>
        </is>
      </c>
      <c r="J60" s="2" t="inlineStr"/>
      <c r="K60" s="13" t="inlineStr">
        <is>
          <t>2026-10-01</t>
        </is>
      </c>
      <c r="L60" s="3" t="inlineStr"/>
    </row>
    <row r="61">
      <c r="A61" s="2" t="inlineStr">
        <is>
          <t>6.10 AI cold-calling module</t>
        </is>
      </c>
      <c r="B61" s="2" t="inlineStr">
        <is>
          <t>TC-J11</t>
        </is>
      </c>
      <c r="C61" s="3" t="inlineStr">
        <is>
          <t>Call-attempt &amp; opt-out audit log</t>
        </is>
      </c>
      <c r="D61" s="3" t="inlineStr">
        <is>
          <t>Calls and STOPs occurred</t>
        </is>
      </c>
      <c r="E61" s="3" t="inlineStr">
        <is>
          <t>Open the audit log</t>
        </is>
      </c>
      <c r="F61" s="3" t="inlineStr">
        <is>
          <t>Every attempt and every opt-out present with timestamps</t>
        </is>
      </c>
      <c r="G61" s="5" t="inlineStr">
        <is>
          <t>P1</t>
        </is>
      </c>
      <c r="H61" s="17" t="inlineStr">
        <is>
          <t>Blocked</t>
        </is>
      </c>
      <c r="I61" s="12" t="inlineStr">
        <is>
          <t>No call attempts exist in the audit log to verify.</t>
        </is>
      </c>
      <c r="J61" s="2" t="inlineStr"/>
      <c r="K61" s="13" t="inlineStr">
        <is>
          <t>2026-10-01</t>
        </is>
      </c>
      <c r="L61" s="3" t="inlineStr"/>
    </row>
    <row r="62">
      <c r="A62" s="2" t="inlineStr">
        <is>
          <t>6.11 Non-functional</t>
        </is>
      </c>
      <c r="B62" s="2" t="inlineStr">
        <is>
          <t>TC-K01</t>
        </is>
      </c>
      <c r="C62" s="3" t="inlineStr">
        <is>
          <t>Page load performance</t>
        </is>
      </c>
      <c r="D62" s="3" t="inlineStr">
        <is>
          <t>Deployed build</t>
        </is>
      </c>
      <c r="E62" s="3" t="inlineStr">
        <is>
          <t>Open dashboard, calendar, CRM, admin pages</t>
        </is>
      </c>
      <c r="F62" s="3" t="inlineStr">
        <is>
          <t>Each loads in under ~3s on a normal connection</t>
        </is>
      </c>
      <c r="G62" s="5" t="inlineStr">
        <is>
          <t>P1</t>
        </is>
      </c>
      <c r="H62" s="11" t="inlineStr">
        <is>
          <t>Pass</t>
        </is>
      </c>
      <c r="I62" s="12" t="inlineStr">
        <is>
          <t>Approx load times: dashboard ~1.3s, calendar ~1.2s, customers ~1.2s, admin ~1.5s, AI Sales ~1.1s — all under 3s. (One 7.4s first load was backend spin-up after wake.)</t>
        </is>
      </c>
      <c r="J62" s="2" t="inlineStr"/>
      <c r="K62" s="13" t="inlineStr">
        <is>
          <t>2026-10-01</t>
        </is>
      </c>
      <c r="L62" s="3" t="inlineStr"/>
    </row>
    <row r="63">
      <c r="A63" s="2" t="inlineStr">
        <is>
          <t>6.11 Non-functional</t>
        </is>
      </c>
      <c r="B63" s="2" t="inlineStr">
        <is>
          <t>TC-K02</t>
        </is>
      </c>
      <c r="C63" s="3" t="inlineStr">
        <is>
          <t>Mobile responsiveness</t>
        </is>
      </c>
      <c r="D63" s="3" t="inlineStr">
        <is>
          <t>Phone viewport</t>
        </is>
      </c>
      <c r="E63" s="3" t="inlineStr">
        <is>
          <t>Open garage dashboard, booking link, admin funnel</t>
        </is>
      </c>
      <c r="F63" s="3" t="inlineStr">
        <is>
          <t>Usable without horizontal scrolling; buttons reachable</t>
        </is>
      </c>
      <c r="G63" s="5" t="inlineStr">
        <is>
          <t>P1</t>
        </is>
      </c>
      <c r="H63" s="17" t="inlineStr">
        <is>
          <t>Blocked</t>
        </is>
      </c>
      <c r="I63" s="12" t="inlineStr">
        <is>
          <t>No viewport-control capability in this automation environment — mobile layout could not be evaluated.</t>
        </is>
      </c>
      <c r="J63" s="2" t="inlineStr"/>
      <c r="K63" s="13" t="inlineStr">
        <is>
          <t>2026-10-01</t>
        </is>
      </c>
      <c r="L63" s="3" t="inlineStr"/>
    </row>
    <row r="64">
      <c r="A64" s="2" t="inlineStr">
        <is>
          <t>6.11 Non-functional</t>
        </is>
      </c>
      <c r="B64" s="2" t="inlineStr">
        <is>
          <t>TC-K03</t>
        </is>
      </c>
      <c r="C64" s="3" t="inlineStr">
        <is>
          <t>No secrets in client code</t>
        </is>
      </c>
      <c r="D64" s="3" t="inlineStr">
        <is>
          <t>Deployed frontend</t>
        </is>
      </c>
      <c r="E64" s="3" t="inlineStr">
        <is>
          <t>Spot-check built JS bundles</t>
        </is>
      </c>
      <c r="F64" s="3" t="inlineStr">
        <is>
          <t>No API keys/tokens present in client-side code</t>
        </is>
      </c>
      <c r="G64" s="4" t="inlineStr">
        <is>
          <t>P0</t>
        </is>
      </c>
      <c r="H64" s="14" t="inlineStr">
        <is>
          <t>Fail</t>
        </is>
      </c>
      <c r="I64" s="12" t="inlineStr">
        <is>
          <t>32-hex bearer token (X-Emergent-Overlay-Token for the preview overlay's report/crash-replay endpoints) found in inline page script. It is injected by Emergent's preview tooling, NOT RevLoop's code — but it is a real credential in client-served code. No Stripe/Twilio secrets in page source; admin integration keys are masked server-side.</t>
        </is>
      </c>
      <c r="J64" s="2" t="inlineStr">
        <is>
          <t>BUG-015</t>
        </is>
      </c>
      <c r="K64" s="13" t="inlineStr">
        <is>
          <t>2026-10-01</t>
        </is>
      </c>
      <c r="L64" s="3" t="inlineStr"/>
    </row>
    <row r="65">
      <c r="A65" s="2" t="inlineStr">
        <is>
          <t>6.11 Non-functional</t>
        </is>
      </c>
      <c r="B65" s="2" t="inlineStr">
        <is>
          <t>TC-K04</t>
        </is>
      </c>
      <c r="C65" s="3" t="inlineStr">
        <is>
          <t>Booking link works logged-out</t>
        </is>
      </c>
      <c r="D65" s="3" t="inlineStr">
        <is>
          <t>Incognito window</t>
        </is>
      </c>
      <c r="E65" s="3" t="inlineStr">
        <is>
          <t>Complete a booking start→finish</t>
        </is>
      </c>
      <c r="F65" s="3" t="inlineStr">
        <is>
          <t>Works fully with no login session</t>
        </is>
      </c>
      <c r="G65" s="5" t="inlineStr">
        <is>
          <t>P1</t>
        </is>
      </c>
      <c r="H65" s="11" t="inlineStr">
        <is>
          <t>Pass</t>
        </is>
      </c>
      <c r="I65" s="12" t="inlineStr">
        <is>
          <t>Logged-out booking on /book/demo-auto-toronto completed start-&gt;finish (fake customer QA Test Booker +15555550199, consent unchecked). Confirmation: 'You're booked! Oil &amp; filter change — 2026-10-03 at 10:00 AM.'</t>
        </is>
      </c>
      <c r="J65" s="2" t="inlineStr"/>
      <c r="K65" s="13" t="inlineStr">
        <is>
          <t>2026-10-01</t>
        </is>
      </c>
      <c r="L65" s="3" t="inlineStr"/>
    </row>
  </sheetData>
  <autoFilter ref="A1:L1"/>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showDropDown="0" showInputMessage="0" showErrorMessage="0" allowBlank="0" error="Pick from the list" type="list">
      <formula1>"Not Run,Pass,Fail,Blocked,Skipped"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2" customWidth="1" min="1" max="1"/>
    <col width="14" customWidth="1" min="2" max="2"/>
  </cols>
  <sheetData>
    <row r="1">
      <c r="A1" s="7" t="inlineStr">
        <is>
          <t>RevLoop Phase 1 — Test Execution Summary</t>
        </is>
      </c>
    </row>
    <row r="3">
      <c r="A3" s="8" t="inlineStr">
        <is>
          <t>Total test cases</t>
        </is>
      </c>
      <c r="B3" s="9">
        <f>COUNTA('Execution Tracker'!B2:B66)</f>
        <v/>
      </c>
    </row>
    <row r="4">
      <c r="A4" s="8" t="inlineStr">
        <is>
          <t>Not Run</t>
        </is>
      </c>
      <c r="B4" s="9">
        <f>COUNTIF('Execution Tracker'!H2:H66,"Not Run")</f>
        <v/>
      </c>
    </row>
    <row r="5">
      <c r="A5" s="8" t="inlineStr">
        <is>
          <t>Pass</t>
        </is>
      </c>
      <c r="B5" s="9">
        <f>COUNTIF('Execution Tracker'!H2:H66,"Pass")</f>
        <v/>
      </c>
    </row>
    <row r="6">
      <c r="A6" s="8" t="inlineStr">
        <is>
          <t>Fail</t>
        </is>
      </c>
      <c r="B6" s="9">
        <f>COUNTIF('Execution Tracker'!H2:H66,"Fail")</f>
        <v/>
      </c>
    </row>
    <row r="7">
      <c r="A7" s="8" t="inlineStr">
        <is>
          <t>Blocked</t>
        </is>
      </c>
      <c r="B7" s="9">
        <f>COUNTIF('Execution Tracker'!H2:H66,"Blocked")</f>
        <v/>
      </c>
    </row>
    <row r="8">
      <c r="A8" s="8" t="inlineStr">
        <is>
          <t>Skipped</t>
        </is>
      </c>
      <c r="B8" s="9">
        <f>COUNTIF('Execution Tracker'!H2:H66,"Skipped")</f>
        <v/>
      </c>
    </row>
    <row r="9">
      <c r="A9" s="8" t="inlineStr">
        <is>
          <t>P0 Pass</t>
        </is>
      </c>
      <c r="B9" s="9">
        <f>COUNTIFS('Execution Tracker'!G2:G66,"P0",'Execution Tracker'!H2:H66,"Pass")</f>
        <v/>
      </c>
    </row>
    <row r="10">
      <c r="A10" s="8" t="inlineStr">
        <is>
          <t>P0 Total</t>
        </is>
      </c>
      <c r="B10" s="9">
        <f>COUNTIF('Execution Tracker'!G2:G66,"P0")</f>
        <v/>
      </c>
    </row>
    <row r="11">
      <c r="A11" s="8" t="inlineStr">
        <is>
          <t>Defects logged</t>
        </is>
      </c>
      <c r="B11" s="9">
        <f>COUNTA('Execution Tracker'!J2:J66)</f>
        <v/>
      </c>
    </row>
    <row r="14">
      <c r="A14" s="10" t="inlineStr">
        <is>
          <t>Fill 'Executed On' as YYYY-MM-DD. Defect IDs: BUG-001, BUG-002,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10" customWidth="1" min="3" max="3"/>
    <col width="14" customWidth="1" min="4" max="4"/>
    <col width="12" customWidth="1" min="5" max="5"/>
    <col width="60" customWidth="1" min="6" max="6"/>
    <col width="80" customWidth="1" min="7" max="7"/>
  </cols>
  <sheetData>
    <row r="1" ht="28" customHeight="1">
      <c r="A1" s="1" t="inlineStr">
        <is>
          <t>Defect ID</t>
        </is>
      </c>
      <c r="B1" s="1" t="inlineStr">
        <is>
          <t>Title</t>
        </is>
      </c>
      <c r="C1" s="1" t="inlineStr">
        <is>
          <t>Severity</t>
        </is>
      </c>
      <c r="D1" s="1" t="inlineStr">
        <is>
          <t>Test Case(s)</t>
        </is>
      </c>
      <c r="E1" s="1" t="inlineStr">
        <is>
          <t>Status</t>
        </is>
      </c>
      <c r="F1" s="1" t="inlineStr">
        <is>
          <t>Repro / Notes</t>
        </is>
      </c>
      <c r="G1" s="1" t="inlineStr">
        <is>
          <t>Fix instructions for Emergent (copy-paste to Emergent)</t>
        </is>
      </c>
    </row>
    <row r="2">
      <c r="A2" s="2" t="inlineStr">
        <is>
          <t>BUG-001</t>
        </is>
      </c>
      <c r="B2" s="3" t="inlineStr">
        <is>
          <t>Staff restricted URLs redirect to /calendar instead of returning 403</t>
        </is>
      </c>
      <c r="C2" s="5" t="inlineStr">
        <is>
          <t>Medium</t>
        </is>
      </c>
      <c r="D2" s="2" t="inlineStr">
        <is>
          <t>TC-A02, TC-A03</t>
        </is>
      </c>
      <c r="E2" s="2" t="inlineStr">
        <is>
          <t>Open</t>
        </is>
      </c>
      <c r="F2" s="3" t="inlineStr">
        <is>
          <t>Sign in as staff@demo.revloop.test -&gt; navigate to /settings, /templates, /billing -&gt; silently redirected to /calendar. Expected: 403 page. Restriction itself works (no content served), but wrong signal.</t>
        </is>
      </c>
      <c r="G2" s="12" t="inlineStr">
        <is>
          <t>In the garage app's route guard for owner-only pages (/settings, /templates, /billing): when a staff-role user requests the URL directly, return HTTP 403 and render a visible 'Access denied' page instead of silently redirecting to /calendar. The role check itself works (no content is served) — only the response is wrong. Acceptance: direct GET as staff to each URL -&gt; 403 status + 'Access denied' page.</t>
        </is>
      </c>
    </row>
    <row r="3">
      <c r="A3" s="2" t="inlineStr">
        <is>
          <t>BUG-002</t>
        </is>
      </c>
      <c r="B3" s="3" t="inlineStr">
        <is>
          <t>Access-denial attempts are not written to the audit log</t>
        </is>
      </c>
      <c r="C3" s="5" t="inlineStr">
        <is>
          <t>Medium</t>
        </is>
      </c>
      <c r="D3" s="2" t="inlineStr">
        <is>
          <t>TC-A03, TC-A04</t>
        </is>
      </c>
      <c r="E3" s="2" t="inlineStr">
        <is>
          <t>Open</t>
        </is>
      </c>
      <c r="F3" s="3" t="inlineStr">
        <is>
          <t>Staff opening /billing directly, and owner opening another tenant's /customers/&lt;id&gt; URL, produce NO entries in the super-admin Audit log. Expected: every denial audited with actor + timestamp.</t>
        </is>
      </c>
      <c r="G3" s="12" t="inlineStr">
        <is>
          <t>In the same authorization guard (and the tenant-ownership check), write an audit-log entry BEFORE denying: actor id, tenant id, attempted path, timestamp, outcome=denied. Covers staff hitting owner-only URLs and cross-tenant object access attempts. Acceptance: each denied attempt appears in the super-admin Audit log with actor + timestamp.</t>
        </is>
      </c>
    </row>
    <row r="4">
      <c r="A4" s="2" t="inlineStr">
        <is>
          <t>BUG-003</t>
        </is>
      </c>
      <c r="B4" s="3" t="inlineStr">
        <is>
          <t>Cross-tenant object URL shows 'Customer not found' instead of 403</t>
        </is>
      </c>
      <c r="C4" s="6" t="inlineStr">
        <is>
          <t>Low</t>
        </is>
      </c>
      <c r="D4" s="2" t="inlineStr">
        <is>
          <t>TC-A04</t>
        </is>
      </c>
      <c r="E4" s="2" t="inlineStr">
        <is>
          <t>Open</t>
        </is>
      </c>
      <c r="F4" s="3" t="inlineStr">
        <is>
          <t>As Demo Auto Toronto owner, opening QA Test Garage's /customers/&lt;uuid&gt; shows 'Customer not found'. Data isolation holds (nothing leaked) but expected 403 + audit entry.</t>
        </is>
      </c>
      <c r="G4" s="12" t="inlineStr">
        <is>
          <t>In the customer/booking fetch layer, check tenant ownership BEFORE the existence check: if the record exists but belongs to a different tenant -&gt; return 403 + audit entry (see BUG-002); only return 404 when the record does not exist at all. Acceptance: Garage A owner opening Garage B's /customers/&lt;id&gt; -&gt; 403, no data leaked, audit entry written.</t>
        </is>
      </c>
    </row>
    <row r="5">
      <c r="A5" s="2" t="inlineStr">
        <is>
          <t>BUG-004</t>
        </is>
      </c>
      <c r="B5" s="3" t="inlineStr">
        <is>
          <t>No forgot-password flow exists</t>
        </is>
      </c>
      <c r="C5" s="14" t="inlineStr">
        <is>
          <t>High</t>
        </is>
      </c>
      <c r="D5" s="2" t="inlineStr">
        <is>
          <t>TC-A06</t>
        </is>
      </c>
      <c r="E5" s="2" t="inlineStr">
        <is>
          <t>Open</t>
        </is>
      </c>
      <c r="F5" s="3" t="inlineStr">
        <is>
          <t>Login page has NO forgot-password link; direct navigation to /forgot-password and /reset-password redirects to /login. Users locked out have no self-serve recovery.</t>
        </is>
      </c>
      <c r="G5" s="12" t="inlineStr">
        <is>
          <t>Implement the missing password-reset flow: (1) add 'Forgot password?' link on /login; (2) /forgot-password route with email form that sends a signed, expiring reset token by email; (3) /reset-password?token=... route that sets the new password and invalidates all existing sessions for the user. Acceptance: full flow works end-to-end on a test account; /forgot-password and /reset-password no longer redirect to /login.</t>
        </is>
      </c>
    </row>
    <row r="6">
      <c r="A6" s="2" t="inlineStr">
        <is>
          <t>BUG-005</t>
        </is>
      </c>
      <c r="B6" s="3" t="inlineStr">
        <is>
          <t>No session-timeout setting; timeout behavior unverifiable</t>
        </is>
      </c>
      <c r="C6" s="5" t="inlineStr">
        <is>
          <t>Medium</t>
        </is>
      </c>
      <c r="D6" s="2" t="inlineStr">
        <is>
          <t>TC-A06</t>
        </is>
      </c>
      <c r="E6" s="2" t="inlineStr">
        <is>
          <t>Open</t>
        </is>
      </c>
      <c r="F6" s="3" t="inlineStr">
        <is>
          <t>No timeout control in admin (Health/Garages/Number pool/Plans/Integrations/Audit log) or garage Settings; sessions persisted ~25 min of testing. Expected: configurable idle timeout.</t>
        </is>
      </c>
      <c r="G6" s="12" t="inlineStr">
        <is>
          <t>Add a configurable idle session timeout (suggested default 60 minutes, configurable in super-admin settings and/or garage Settings): expire the session after the configured inactivity period and redirect to /login with a 'session expired' notice. Acceptance: setting is visible; a session idle past the timeout is terminated and cannot be reused.</t>
        </is>
      </c>
    </row>
    <row r="7">
      <c r="A7" s="2" t="inlineStr">
        <is>
          <t>BUG-006</t>
        </is>
      </c>
      <c r="B7" s="3" t="inlineStr">
        <is>
          <t>SMS number pool is empty — new tenants cannot get a dedicated number</t>
        </is>
      </c>
      <c r="C7" s="14" t="inlineStr">
        <is>
          <t>High</t>
        </is>
      </c>
      <c r="D7" s="2" t="inlineStr">
        <is>
          <t>TC-A01</t>
        </is>
      </c>
      <c r="E7" s="2" t="inlineStr">
        <is>
          <t>Open</t>
        </is>
      </c>
      <c r="F7" s="3" t="inlineStr">
        <is>
          <t>Admin Garages tab for the new tenant shows 'No free numbers in pool'; Settings -&gt; Phone &amp; SMS shows 'Not assigned yet - PENDING'. Onboarding checklist items 'Garage approved' / 'Dedicated SMS number assigned' can never complete. Possibly seed-data issue in preview.</t>
        </is>
      </c>
      <c r="G7" s="12" t="inlineStr">
        <is>
          <t>Likely seed-data, not code: the Twilio number pool is empty in this environment (admin Garages tab shows 'No free numbers in pool'), so approving a garage can never assign a dedicated SMS number and the onboarding checklist items 'Garage approved' / 'Dedicated SMS number assigned' can never complete. Action: seed the pool with test numbers in preview/test envs AND add a clear admin warning when the pool is empty. Acceptance: pool shows available numbers; approving a garage assigns one; checklist completes.</t>
        </is>
      </c>
    </row>
    <row r="8">
      <c r="A8" s="15" t="inlineStr">
        <is>
          <t>BUG-007</t>
        </is>
      </c>
      <c r="B8" s="16" t="inlineStr">
        <is>
          <t>No UI to edit a customer's name/phone/email</t>
        </is>
      </c>
      <c r="C8" s="14" t="inlineStr">
        <is>
          <t>High</t>
        </is>
      </c>
      <c r="D8" s="15" t="inlineStr">
        <is>
          <t>TC-B01</t>
        </is>
      </c>
      <c r="E8" s="15" t="inlineStr">
        <is>
          <t>Open</t>
        </is>
      </c>
      <c r="F8" s="16" t="inlineStr">
        <is>
          <t>Customers -&gt; open any customer -&gt; profile shows only Consent / Vehicle / Book buttons; list rows are plain links; double-click does nothing. Customer create + search work, but edits are impossible from the UI.</t>
        </is>
      </c>
      <c r="G8" s="12" t="inlineStr">
        <is>
          <t>Add an Edit affordance for customers: an Edit button on the customer profile page allowing name, phone, and email changes, with phone-format validation and duplicate-phone handling consistent with CSV import rules. Persist and reflect in list/search immediately. Acceptance: edit a customer's phone -&gt; saved; search by the new phone finds the customer.</t>
        </is>
      </c>
    </row>
    <row r="9">
      <c r="A9" s="15" t="inlineStr">
        <is>
          <t>BUG-008</t>
        </is>
      </c>
      <c r="B9" s="16" t="inlineStr">
        <is>
          <t>Public booking link allows double-booking the same slot</t>
        </is>
      </c>
      <c r="C9" s="14" t="inlineStr">
        <is>
          <t>High</t>
        </is>
      </c>
      <c r="D9" s="15" t="inlineStr">
        <is>
          <t>TC-C04</t>
        </is>
      </c>
      <c r="E9" s="15" t="inlineStr">
        <is>
          <t>Open</t>
        </is>
      </c>
      <c r="F9" s="16" t="inlineStr">
        <is>
          <t>Booked Fri Oct 2 2:00 PM twice via /book/demo-auto-toronto (QA C04 One +15550101111, QA C04 Two +15550101112) — both 'You're booked!', slot still listed free. In-app Calendar Book dialog DOES reject conflicts ('already booked at this time'). The overlap check is missing only in the public flow.</t>
        </is>
      </c>
      <c r="G9" s="12" t="inlineStr">
        <is>
          <t>Apply the conflict check already used by the in-app calendar dialog ('That bay, team member or vehicle is already booked at this time') to the PUBLIC booking endpoint: re-check slot availability inside a transaction immediately before confirming, and reject the second booking of the same slot with a clear message (or offer the waitlist per config). The availability grid must also refresh after each confirmed booking. Acceptance: two rapid public bookings of the same slot -&gt; first succeeds, second is rejected with a clear message.</t>
        </is>
      </c>
    </row>
    <row r="10">
      <c r="A10" s="15" t="inlineStr">
        <is>
          <t>BUG-009</t>
        </is>
      </c>
      <c r="B10" s="16" t="inlineStr">
        <is>
          <t>Reminder SMS queued for customers with no recorded SMS consent</t>
        </is>
      </c>
      <c r="C10" s="14" t="inlineStr">
        <is>
          <t>Medium</t>
        </is>
      </c>
      <c r="D10" s="15" t="inlineStr">
        <is>
          <t>TC-C04</t>
        </is>
      </c>
      <c r="E10" s="15" t="inlineStr">
        <is>
          <t>Open</t>
        </is>
      </c>
      <c r="F10" s="16" t="inlineStr">
        <is>
          <t>QA C04 One/Two booked via public link WITHOUT ticking consent, yet their threads show reminder2 QUEUED. Send-time consent filtering unverified — reminders may go out without consent (CASL risk). Needs verification whether send is suppressed at send time.</t>
        </is>
      </c>
      <c r="G10" s="12" t="inlineStr">
        <is>
          <t>Enforce SMS consent at queue time AND send time for reminders and review requests: only queue/send when the customer has an active EXPRESS opt-in and is not STOPped; when skipped, log the suppression reason (visible in the thread as SUPPRESSED with reason, consistent with existing behavior). Acceptance: public booking WITHOUT ticking consent -&gt; no reminder24/reminder2 entries queued and nothing sent.</t>
        </is>
      </c>
    </row>
    <row r="11">
      <c r="A11" s="15" t="inlineStr">
        <is>
          <t>BUG-010</t>
        </is>
      </c>
      <c r="B11" s="16" t="inlineStr">
        <is>
          <t>Inbound YES reply is recorded but does NOT confirm the appointment</t>
        </is>
      </c>
      <c r="C11" s="14" t="inlineStr">
        <is>
          <t>High</t>
        </is>
      </c>
      <c r="D11" s="15" t="inlineStr">
        <is>
          <t>TC-C08</t>
        </is>
      </c>
      <c r="E11" s="15" t="inlineStr">
        <is>
          <t>Open</t>
        </is>
      </c>
      <c r="F11" s="16" t="inlineStr">
        <is>
          <t>Customer replied 'Yes' from +16476094072 to the confirmation SMS (garage number +12896721172); reply shows RECEIVED in the Inbox thread at Oct 1 8:00 PM and under dashboard 'Replies needing attention'. The Fri Oct 2 10:00 AM appointment nevertheless stayed SCHEDULED with the Confirm action still available. The SMS promises 'Reply YES to confirm' but the reply triggers no status change.</t>
        </is>
      </c>
      <c r="G11" s="12" t="inlineStr">
        <is>
          <t>Wire the inbound-SMS webhook handler to appointment actions: when YES (case-insensitive, trimmed) arrives from the customer's phone, find that customer's nearest upcoming SCHEDULED appointment and set it to Confirmed, log the transition, and optionally reply with a confirmation text. The inbound pipeline already records the message (RECEIVED) — only the status-transition logic is missing. Do the same mapping review for CANCEL -&gt; Cancelled (free the slot, notify staff). Acceptance: reply YES -&gt; appointment shows Confirmed on the calendar without manual action.</t>
        </is>
      </c>
    </row>
    <row r="12">
      <c r="A12" s="15" t="inlineStr">
        <is>
          <t>BUG-011</t>
        </is>
      </c>
      <c r="B12" s="16" t="inlineStr">
        <is>
          <t>Template live preview does not refresh after saving an edit (stale/cached)</t>
        </is>
      </c>
      <c r="C12" s="14" t="inlineStr">
        <is>
          <t>Low</t>
        </is>
      </c>
      <c r="D12" s="15" t="inlineStr">
        <is>
          <t>TC-F01</t>
        </is>
      </c>
      <c r="E12" s="15" t="inlineStr">
        <is>
          <t>Open</t>
        </is>
      </c>
      <c r="F12" s="16" t="inlineStr">
        <is>
          <t>Edited the 'Service due' template (appended 'Service date: {appointment_date}') and saved ('Template saved' notification), but the live preview kept showing the pre-edit content even after page reload. Save works; only the preview is stale.</t>
        </is>
      </c>
      <c r="G12" s="12" t="inlineStr">
        <is>
          <t>After a template is saved, invalidate the cached preview and re-render it from the saved template so the live preview reflects the edit immediately (no manual reload needed). Acceptance: edit template -&gt; Save -&gt; preview shows the new text at once.</t>
        </is>
      </c>
    </row>
    <row r="13">
      <c r="A13" s="15" t="inlineStr">
        <is>
          <t>BUG-012</t>
        </is>
      </c>
      <c r="B13" s="16" t="inlineStr">
        <is>
          <t>'Send due messages now' trigger processes 0 messages while due reminders exist</t>
        </is>
      </c>
      <c r="C13" s="14" t="inlineStr">
        <is>
          <t>Medium</t>
        </is>
      </c>
      <c r="D13" s="15" t="inlineStr">
        <is>
          <t>TC-E01, TC-E03</t>
        </is>
      </c>
      <c r="E13" s="15" t="inlineStr">
        <is>
          <t>Open</t>
        </is>
      </c>
      <c r="F13" s="16" t="inlineStr">
        <is>
          <t>Automations -&gt; 'Send due messages now' returned 'Queue processed: 0 message(s) handled' although QA SMS Test had a due reminder (due Oct 1, 2026). The automated cron path works (Aisha Khan received a real due-reminder SMS at 3:44 PM today), so only the manual trigger appears non-functional.</t>
        </is>
      </c>
      <c r="G13" s="12" t="inlineStr">
        <is>
          <t>Fix the 'Send due messages now' manual trigger so it evaluates due service reminders using the same query/filters as the scheduled cron job and queues the due messages (it currently returns 'Queue processed: 0 message(s) handled' while due reminders exist). Acceptance: with a due reminder present (e.g., due Oct 1), clicking the trigger queues it and reports the handled count.</t>
        </is>
      </c>
    </row>
    <row r="14">
      <c r="A14" s="15" t="inlineStr">
        <is>
          <t>BUG-013</t>
        </is>
      </c>
      <c r="B14" s="16" t="inlineStr">
        <is>
          <t>No UI to edit vehicle details (odometer cannot be updated)</t>
        </is>
      </c>
      <c r="C14" s="14" t="inlineStr">
        <is>
          <t>Medium</t>
        </is>
      </c>
      <c r="D14" s="15" t="inlineStr">
        <is>
          <t>TC-E02</t>
        </is>
      </c>
      <c r="E14" s="15" t="inlineStr">
        <is>
          <t>Open</t>
        </is>
      </c>
      <c r="F14" s="16" t="inlineStr">
        <is>
          <t>The 'Vehicle' button only opens 'Add vehicle'; clicking the plate text does nothing; no edit affordance exists for km/plate. Related to BUG-007 (no customer edit UI). Km-based service reminders cannot be exercised without odometer updates.</t>
        </is>
      </c>
      <c r="G14" s="12" t="inlineStr">
        <is>
          <t>Add an Edit affordance on the vehicle card (plate, odometer/km, make/model/year) with validation, persisted immediately. This unblocks km-based service reminders, which require odometer updates. Acceptance: update a vehicle's odometer -&gt; saved; km-based reminder scheduling uses the new value.</t>
        </is>
      </c>
    </row>
    <row r="15">
      <c r="A15" s="15" t="inlineStr">
        <is>
          <t>BUG-014</t>
        </is>
      </c>
      <c r="B15" s="16" t="inlineStr">
        <is>
          <t>Audit log missing login events and consent opt-in events; no actor/date filters</t>
        </is>
      </c>
      <c r="C15" s="14" t="inlineStr">
        <is>
          <t>High</t>
        </is>
      </c>
      <c r="D15" s="15" t="inlineStr">
        <is>
          <t>TC-H05</t>
        </is>
      </c>
      <c r="E15" s="15" t="inlineStr">
        <is>
          <t>Open</t>
        </is>
      </c>
      <c r="F15" s="16" t="inlineStr">
        <is>
          <t>Super-admin Audit log has only an action-name text filter (no actor/role, no date-range). Missing event categories: (1) login/logout events — three sign-ins performed during QA produced zero login events; (2) consent opt-in events — the public-booking opt-in appears only in the customer-level consent ledger, never in the audit log (while consent.opted-out IS logged).</t>
        </is>
      </c>
      <c r="G15" s="16" t="inlineStr">
        <is>
          <t>Log auth events (login success/failure, logout) and consent opt-ins to the audit log with actor id, tenant id, and timestamp — symmetric with the existing consent.opted-out events. Add actor/role and date-range filter controls to the Audit log UI. Acceptance: sign-in produces a login event; a public-booking opt-in produces an audit event; both filters return correct scoped results.</t>
        </is>
      </c>
    </row>
    <row r="16">
      <c r="A16" s="15" t="inlineStr">
        <is>
          <t>BUG-015</t>
        </is>
      </c>
      <c r="B16" s="16" t="inlineStr">
        <is>
          <t>Bearer token embedded in served page source (Emergent preview overlay token)</t>
        </is>
      </c>
      <c r="C16" s="14" t="inlineStr">
        <is>
          <t>Low</t>
        </is>
      </c>
      <c r="D16" s="15" t="inlineStr">
        <is>
          <t>TC-K03</t>
        </is>
      </c>
      <c r="E16" s="15" t="inlineStr">
        <is>
          <t>Open</t>
        </is>
      </c>
      <c r="F16" s="16" t="inlineStr">
        <is>
          <t>A 32-hex-character bearer token (X-Emergent-Overlay-Token, used by the Emergent preview overlay's report/crash-replay endpoints) is present in an inline script in the served index HTML. It is injected by Emergent's preview tooling, not RevLoop's own code — but it is a real credential in client-served code. No Stripe/Twilio/app secrets found; admin keys are masked server-side.</t>
        </is>
      </c>
      <c r="G16" s="16" t="inlineStr">
        <is>
          <t>Audit served HTML/JS for secrets before production: strip preview-only instrumentation (including the overlay bearer token) from production builds and ensure no credentials are embedded in client-served code. Acceptance: page source and JS bundles contain no bearer tokens or API secrets.</t>
        </is>
      </c>
    </row>
    <row r="17">
      <c r="A17" s="15" t="inlineStr">
        <is>
          <t>BUG-016</t>
        </is>
      </c>
      <c r="B17" s="16" t="inlineStr">
        <is>
          <t>Health dashboard has no status rows for VAPI / ElevenLabs</t>
        </is>
      </c>
      <c r="C17" s="14" t="inlineStr">
        <is>
          <t>Low</t>
        </is>
      </c>
      <c r="D17" s="15" t="inlineStr">
        <is>
          <t>TC-I05</t>
        </is>
      </c>
      <c r="E17" s="15" t="inlineStr">
        <is>
          <t>Open</t>
        </is>
      </c>
      <c r="F17" s="16" t="inlineStr">
        <is>
          <t>Health tab shows live status for Database, Twilio, SMS mode and last cron run, and Integrations offers a live 'Test connection' — but there are no VAPI/ElevenLabs status rows on the Health dashboard (ElevenLabs only shows 'not set' under Integrations).</t>
        </is>
      </c>
      <c r="G17" s="16" t="inlineStr">
        <is>
          <t>Add VAPI and ElevenLabs rows to the Health dashboard with live reachability checks (same pattern as Twilio's Test connection). Acceptance: Health tab shows real VAPI/ElevenLabs status, not just the Integrations page.</t>
        </is>
      </c>
    </row>
    <row r="18">
      <c r="A18" s="15" t="inlineStr">
        <is>
          <t>BUG-017</t>
        </is>
      </c>
      <c r="B18" s="16" t="inlineStr">
        <is>
          <t>No admin UI for default trial length or direct tenant creation</t>
        </is>
      </c>
      <c r="C18" s="14" t="inlineStr">
        <is>
          <t>Medium</t>
        </is>
      </c>
      <c r="D18" s="15" t="inlineStr">
        <is>
          <t>TC-I02</t>
        </is>
      </c>
      <c r="E18" s="15" t="inlineStr">
        <is>
          <t>Open</t>
        </is>
      </c>
      <c r="F18" s="16" t="inlineStr">
        <is>
          <t>Super-admin has no 'default trial days' setting (checked all admin tabs) and no create-tenant control in the Garages tab — tenants only arrive via the public signup flow, so trial-length policy cannot be managed or verified.</t>
        </is>
      </c>
      <c r="G18" s="16" t="inlineStr">
        <is>
          <t>Add super-admin controls: (1) default trial length (days) applied to new signups; (2) a create-tenant action in the Garages tab. Acceptance: changing the default trial changes the next signup's trial period; admin can create a tenant directly.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2026-10-01T18:54:44Z</dcterms:created>
  <dcterms:modified xmlns:dcterms="http://purl.org/dc/terms/" xmlns:xsi="http://www.w3.org/2001/XMLSchema-instance" xsi:type="dcterms:W3CDTF">2026-10-02T01:19:44+00:00Z</dcterms:modified>
</cp:coreProperties>
</file>